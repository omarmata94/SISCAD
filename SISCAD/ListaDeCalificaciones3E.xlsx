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1er Trimestre" sheetId="2" r:id="rId6"/>
    <sheet state="visible" name="2do Trimestre" sheetId="3" r:id="rId7"/>
    <sheet state="visible" name="3er Trimestre" sheetId="4" r:id="rId8"/>
    <sheet state="visible" name="CONCENTRADO" sheetId="5" r:id="rId9"/>
    <sheet state="visible" name="RESULTADOS" sheetId="6" r:id="rId10"/>
  </sheets>
  <definedNames>
    <definedName name="AGOSTO">#REF!</definedName>
  </definedNames>
  <calcPr/>
</workbook>
</file>

<file path=xl/sharedStrings.xml><?xml version="1.0" encoding="utf-8"?>
<sst xmlns="http://schemas.openxmlformats.org/spreadsheetml/2006/main" count="139" uniqueCount="73">
  <si>
    <t>DATOS GENERALES</t>
  </si>
  <si>
    <t>NOMBRE DE LA ESCUELA:</t>
  </si>
  <si>
    <t>EST 128</t>
  </si>
  <si>
    <t>NOMBRE DEL DOCENTE:</t>
  </si>
  <si>
    <t>Omar Mata</t>
  </si>
  <si>
    <t>GRADO:</t>
  </si>
  <si>
    <t>GRUPO:</t>
  </si>
  <si>
    <t>E</t>
  </si>
  <si>
    <t>ALUMNOS</t>
  </si>
  <si>
    <t>N°</t>
  </si>
  <si>
    <t>Nombre</t>
  </si>
  <si>
    <t>ARMENDARIZ CUELLAR MIA ISABELLA</t>
  </si>
  <si>
    <t>BLANCO SALGADO LLUVIA CRISTAL</t>
  </si>
  <si>
    <t>CANTU AGUILAR ASHLEY DAYANA</t>
  </si>
  <si>
    <t>CRUZ HERNÁNDEZ ALAN ABDIEL</t>
  </si>
  <si>
    <t>DE LEON SALINAS VANESA MONSERRAT</t>
  </si>
  <si>
    <t>DORIA GUERRA DAILY ALESSANDRA</t>
  </si>
  <si>
    <t>ELIZONDO ROMERO MONTSERRAT GUADALUPE</t>
  </si>
  <si>
    <t>GARCIA PINEDA IKER ALEJANDRO</t>
  </si>
  <si>
    <t>GONZÁLEZ HERNÁNDEZ LUIS Á_x0081_NGEL</t>
  </si>
  <si>
    <t>GRIMALDO PUENTE  SAMANTHA SARAHI</t>
  </si>
  <si>
    <t>GUERRERO RODRIGUEZ KEYSHA CECILIA</t>
  </si>
  <si>
    <t>HERNANDEZ CRUZ VIRIDIANA MARIE</t>
  </si>
  <si>
    <t>HERNANDEZ RAMIREZ WALTER JONAS</t>
  </si>
  <si>
    <t>HERNÁNDEZ SALAZAR DIEGO ALDAIR</t>
  </si>
  <si>
    <t>JIMENEZ SALAZAR WALTHER DANIEL</t>
  </si>
  <si>
    <t>MATA MONTES YAEL</t>
  </si>
  <si>
    <t>MEZA TURRUBIATES BRITANY YAHIRALIZ</t>
  </si>
  <si>
    <t>PEÑA MEDELLÍN CORAL ANJURY</t>
  </si>
  <si>
    <t>RAMIREZ GUEIXPAL VANIA GUADALUPE</t>
  </si>
  <si>
    <t>RAMIREZ MARTINEZ EDWIN EMMANUEL</t>
  </si>
  <si>
    <t>RANGEL GARCÍA DANIEL TIMOTEO</t>
  </si>
  <si>
    <t>ROCHA RAMÍREZ CRISTIAN GUADALUPE</t>
  </si>
  <si>
    <t>RODULFO ARGÜELLO ISAÍAS TADEO</t>
  </si>
  <si>
    <t>RUBIO HERNÁNDEZ EVELIN</t>
  </si>
  <si>
    <t>SALAZAR GOMEZ OSVALDO DAMIAN</t>
  </si>
  <si>
    <t>SANTIAGO DEL ANGEL JESUS ANTONIO</t>
  </si>
  <si>
    <t>SILVA GONZALEZ LEONARDO SAID</t>
  </si>
  <si>
    <t>TOBIAS LOZANO ESTEFANY LIZBETH</t>
  </si>
  <si>
    <t>TORRES MEDINA JOSHLEY ALEJANDRO</t>
  </si>
  <si>
    <t>RAMÍREZ CORREA ALISSON</t>
  </si>
  <si>
    <t>ACTIVIDADES</t>
  </si>
  <si>
    <t>DOCENTE:</t>
  </si>
  <si>
    <t>TAREAS</t>
  </si>
  <si>
    <t>PROYECTOS</t>
  </si>
  <si>
    <t>Materia</t>
  </si>
  <si>
    <t>TECNOLOGÍA</t>
  </si>
  <si>
    <t>Calaveritas prehispánicas y aserrín pintado</t>
  </si>
  <si>
    <t>PARTICIPACIÓN</t>
  </si>
  <si>
    <t>CONDUCTA</t>
  </si>
  <si>
    <t>EVALUACIÓN</t>
  </si>
  <si>
    <t>PORCENTAJE TOTAL</t>
  </si>
  <si>
    <t>EVALUACIÓN   (Examen)</t>
  </si>
  <si>
    <t>CALIF FINAL</t>
  </si>
  <si>
    <t>NOMBRE</t>
  </si>
  <si>
    <t>PROMEDIO ACTIVIDADES</t>
  </si>
  <si>
    <t>PROMEDIO TAREAS</t>
  </si>
  <si>
    <t>PROMEDIO PROYECTOS</t>
  </si>
  <si>
    <t>Mesa de Postres</t>
  </si>
  <si>
    <t>Emprendimiento</t>
  </si>
  <si>
    <t>Rally</t>
  </si>
  <si>
    <t>Infografia Ciberseguridad</t>
  </si>
  <si>
    <t>Exposiciones</t>
  </si>
  <si>
    <t>Día de las Madres</t>
  </si>
  <si>
    <t>Tercer Trimestre</t>
  </si>
  <si>
    <t>Segundo Trimestre</t>
  </si>
  <si>
    <t>Primer Trimestre</t>
  </si>
  <si>
    <t>PROMEDIO GENERAL GRUPAL</t>
  </si>
  <si>
    <t>1er Trimestre</t>
  </si>
  <si>
    <t>2do Trimestre</t>
  </si>
  <si>
    <t>3er Trimestre</t>
  </si>
  <si>
    <t>Trimestre</t>
  </si>
  <si>
    <t>PROMEDIO GRUPAL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</si>
</sst>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1.0"/>
      <color rgb="FF000000"/>
      <name val="Arial"/>
      <scheme val="minor"/>
    </font>
    <font>
      <sz val="20.0"/>
      <color theme="1"/>
      <name val="Bahnschrift semicondensed"/>
    </font>
    <font/>
    <font>
      <sz val="18.0"/>
      <color theme="1"/>
      <name val="Bahnschrift semicondensed"/>
    </font>
    <font>
      <sz val="18.0"/>
      <color rgb="FF002060"/>
      <name val="Arial"/>
    </font>
    <font>
      <sz val="18.0"/>
      <color theme="1"/>
      <name val="Arial"/>
    </font>
    <font>
      <b/>
      <sz val="16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2.0"/>
      <color rgb="FF000000"/>
      <name val="Calibri"/>
    </font>
    <font>
      <color rgb="FF000000"/>
      <name val="Calibri"/>
    </font>
    <font>
      <b/>
      <sz val="18.0"/>
      <color theme="1"/>
      <name val="Calibri"/>
    </font>
    <font>
      <sz val="13.0"/>
      <color theme="1"/>
      <name val="Calibri"/>
    </font>
    <font>
      <color theme="1"/>
      <name val="Arial"/>
      <scheme val="minor"/>
    </font>
    <font>
      <b/>
      <sz val="13.0"/>
      <color theme="1"/>
      <name val="Calibri"/>
    </font>
    <font>
      <b/>
      <sz val="9.0"/>
      <color theme="1"/>
      <name val="Calibri"/>
    </font>
    <font>
      <sz val="14.0"/>
      <color theme="1"/>
      <name val="Bahnschrift semicondensed"/>
    </font>
    <font>
      <sz val="14.0"/>
      <color rgb="FF002060"/>
      <name val="Bahnschrift semicondensed"/>
    </font>
    <font>
      <sz val="14.0"/>
      <color theme="1"/>
      <name val="Arial"/>
    </font>
    <font>
      <sz val="14.0"/>
      <color rgb="FF002060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FDE9D9"/>
        <bgColor rgb="FFFDE9D9"/>
      </patternFill>
    </fill>
    <fill>
      <patternFill patternType="solid">
        <fgColor rgb="FFFFFF66"/>
        <bgColor rgb="FFFFFF66"/>
      </patternFill>
    </fill>
    <fill>
      <patternFill patternType="solid">
        <fgColor rgb="FFCCFFFF"/>
        <bgColor rgb="FFCCFFFF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99FF99"/>
        <bgColor rgb="FF99FF99"/>
      </patternFill>
    </fill>
    <fill>
      <patternFill patternType="solid">
        <fgColor rgb="FFFFFF00"/>
        <bgColor rgb="FFFFFF00"/>
      </patternFill>
    </fill>
    <fill>
      <patternFill patternType="solid">
        <fgColor rgb="FFFF66FF"/>
        <bgColor rgb="FFFF66FF"/>
      </patternFill>
    </fill>
    <fill>
      <patternFill patternType="solid">
        <fgColor rgb="FFD7AFFF"/>
        <bgColor rgb="FFD7AFFF"/>
      </patternFill>
    </fill>
    <fill>
      <patternFill patternType="solid">
        <fgColor rgb="FFFFA7A9"/>
        <bgColor rgb="FFFFA7A9"/>
      </patternFill>
    </fill>
    <fill>
      <patternFill patternType="solid">
        <fgColor rgb="FFB6DDE8"/>
        <bgColor rgb="FFB6DDE8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FF7C80"/>
        <bgColor rgb="FFFF7C80"/>
      </patternFill>
    </fill>
    <fill>
      <patternFill patternType="solid">
        <fgColor rgb="FF99FFCC"/>
        <bgColor rgb="FF99FFCC"/>
      </patternFill>
    </fill>
    <fill>
      <patternFill patternType="solid">
        <fgColor rgb="FFFFC000"/>
        <bgColor rgb="FFFFC000"/>
      </patternFill>
    </fill>
    <fill>
      <patternFill patternType="solid">
        <fgColor rgb="FFFF99CC"/>
        <bgColor rgb="FFFF99CC"/>
      </patternFill>
    </fill>
    <fill>
      <patternFill patternType="solid">
        <fgColor rgb="FF99FF66"/>
        <bgColor rgb="FF99FF66"/>
      </patternFill>
    </fill>
    <fill>
      <patternFill patternType="solid">
        <fgColor rgb="FFCDCDFF"/>
        <bgColor rgb="FFCDCDFF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8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  <top/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4" fillId="3" fontId="4" numFmtId="0" xfId="0" applyAlignment="1" applyBorder="1" applyFont="1">
      <alignment horizontal="center" vertical="center"/>
    </xf>
    <xf borderId="4" fillId="4" fontId="3" numFmtId="0" xfId="0" applyBorder="1" applyFill="1" applyFont="1"/>
    <xf borderId="4" fillId="4" fontId="4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left" vertical="center"/>
    </xf>
    <xf borderId="4" fillId="3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left" readingOrder="0"/>
    </xf>
    <xf borderId="3" fillId="4" fontId="3" numFmtId="0" xfId="0" applyAlignment="1" applyBorder="1" applyFont="1">
      <alignment horizontal="left"/>
    </xf>
    <xf borderId="4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left"/>
    </xf>
    <xf borderId="1" fillId="3" fontId="5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/>
    </xf>
    <xf borderId="1" fillId="3" fontId="3" numFmtId="0" xfId="0" applyAlignment="1" applyBorder="1" applyFont="1">
      <alignment horizontal="left"/>
    </xf>
    <xf borderId="5" fillId="5" fontId="6" numFmtId="0" xfId="0" applyAlignment="1" applyBorder="1" applyFill="1" applyFont="1">
      <alignment horizontal="center"/>
    </xf>
    <xf borderId="6" fillId="0" fontId="2" numFmtId="0" xfId="0" applyBorder="1" applyFont="1"/>
    <xf borderId="0" fillId="0" fontId="7" numFmtId="0" xfId="0" applyFont="1"/>
    <xf borderId="0" fillId="0" fontId="7" numFmtId="0" xfId="0" applyAlignment="1" applyFont="1">
      <alignment horizontal="center"/>
    </xf>
    <xf borderId="7" fillId="6" fontId="8" numFmtId="0" xfId="0" applyAlignment="1" applyBorder="1" applyFill="1" applyFont="1">
      <alignment horizontal="right"/>
    </xf>
    <xf borderId="8" fillId="0" fontId="2" numFmtId="0" xfId="0" applyBorder="1" applyFont="1"/>
    <xf borderId="9" fillId="6" fontId="8" numFmtId="9" xfId="0" applyAlignment="1" applyBorder="1" applyFont="1" applyNumberFormat="1">
      <alignment horizontal="center" vertical="center"/>
    </xf>
    <xf borderId="10" fillId="7" fontId="9" numFmtId="0" xfId="0" applyBorder="1" applyFill="1" applyFont="1"/>
    <xf borderId="11" fillId="7" fontId="6" numFmtId="0" xfId="0" applyAlignment="1" applyBorder="1" applyFont="1">
      <alignment horizontal="center"/>
    </xf>
    <xf borderId="12" fillId="0" fontId="2" numFmtId="0" xfId="0" applyBorder="1" applyFont="1"/>
    <xf borderId="13" fillId="8" fontId="8" numFmtId="0" xfId="0" applyAlignment="1" applyBorder="1" applyFill="1" applyFont="1">
      <alignment horizontal="right"/>
    </xf>
    <xf borderId="14" fillId="8" fontId="8" numFmtId="9" xfId="0" applyAlignment="1" applyBorder="1" applyFont="1" applyNumberFormat="1">
      <alignment horizontal="center" vertical="center"/>
    </xf>
    <xf borderId="15" fillId="9" fontId="9" numFmtId="0" xfId="0" applyAlignment="1" applyBorder="1" applyFill="1" applyFont="1">
      <alignment horizontal="left" vertical="center"/>
    </xf>
    <xf borderId="15" fillId="9" fontId="6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16" fillId="10" fontId="10" numFmtId="0" xfId="0" applyAlignment="1" applyBorder="1" applyFill="1" applyFont="1">
      <alignment horizontal="center"/>
    </xf>
    <xf borderId="17" fillId="0" fontId="2" numFmtId="0" xfId="0" applyBorder="1" applyFont="1"/>
    <xf borderId="13" fillId="5" fontId="8" numFmtId="0" xfId="0" applyAlignment="1" applyBorder="1" applyFont="1">
      <alignment horizontal="right"/>
    </xf>
    <xf borderId="14" fillId="5" fontId="8" numFmtId="9" xfId="0" applyAlignment="1" applyBorder="1" applyFont="1" applyNumberFormat="1">
      <alignment horizontal="center" vertical="center"/>
    </xf>
    <xf borderId="10" fillId="8" fontId="9" numFmtId="0" xfId="0" applyBorder="1" applyFont="1"/>
    <xf borderId="11" fillId="8" fontId="10" numFmtId="0" xfId="0" applyAlignment="1" applyBorder="1" applyFont="1">
      <alignment horizontal="center"/>
    </xf>
    <xf borderId="18" fillId="5" fontId="7" numFmtId="0" xfId="0" applyAlignment="1" applyBorder="1" applyFont="1">
      <alignment horizontal="center" readingOrder="0" textRotation="90"/>
    </xf>
    <xf borderId="19" fillId="5" fontId="7" numFmtId="0" xfId="0" applyAlignment="1" applyBorder="1" applyFont="1">
      <alignment horizontal="center" textRotation="90"/>
    </xf>
    <xf borderId="20" fillId="5" fontId="7" numFmtId="0" xfId="0" applyAlignment="1" applyBorder="1" applyFont="1">
      <alignment horizontal="center"/>
    </xf>
    <xf borderId="13" fillId="11" fontId="8" numFmtId="0" xfId="0" applyAlignment="1" applyBorder="1" applyFill="1" applyFont="1">
      <alignment horizontal="right" vertical="center"/>
    </xf>
    <xf borderId="14" fillId="11" fontId="8" numFmtId="9" xfId="0" applyAlignment="1" applyBorder="1" applyFont="1" applyNumberFormat="1">
      <alignment horizontal="center" vertical="center"/>
    </xf>
    <xf borderId="0" fillId="0" fontId="9" numFmtId="0" xfId="0" applyFont="1"/>
    <xf borderId="0" fillId="0" fontId="10" numFmtId="0" xfId="0" applyAlignment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3" fillId="9" fontId="8" numFmtId="0" xfId="0" applyAlignment="1" applyBorder="1" applyFont="1">
      <alignment horizontal="right"/>
    </xf>
    <xf borderId="14" fillId="9" fontId="8" numFmtId="9" xfId="0" applyAlignment="1" applyBorder="1" applyFont="1" applyNumberFormat="1">
      <alignment horizontal="center" vertical="center"/>
    </xf>
    <xf borderId="13" fillId="12" fontId="8" numFmtId="0" xfId="0" applyAlignment="1" applyBorder="1" applyFill="1" applyFont="1">
      <alignment horizontal="right"/>
    </xf>
    <xf borderId="14" fillId="12" fontId="8" numFmtId="9" xfId="0" applyAlignment="1" applyBorder="1" applyFont="1" applyNumberFormat="1">
      <alignment horizontal="center" vertical="center"/>
    </xf>
    <xf borderId="24" fillId="13" fontId="8" numFmtId="0" xfId="0" applyAlignment="1" applyBorder="1" applyFill="1" applyFont="1">
      <alignment horizontal="right"/>
    </xf>
    <xf borderId="25" fillId="0" fontId="2" numFmtId="0" xfId="0" applyBorder="1" applyFont="1"/>
    <xf borderId="26" fillId="13" fontId="8" numFmtId="9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16" fillId="14" fontId="10" numFmtId="0" xfId="0" applyAlignment="1" applyBorder="1" applyFill="1" applyFont="1">
      <alignment horizontal="center"/>
    </xf>
    <xf borderId="16" fillId="15" fontId="10" numFmtId="0" xfId="0" applyAlignment="1" applyBorder="1" applyFill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11" fontId="11" numFmtId="0" xfId="0" applyAlignment="1" applyBorder="1" applyFont="1">
      <alignment horizontal="center" vertical="center"/>
    </xf>
    <xf borderId="31" fillId="16" fontId="9" numFmtId="0" xfId="0" applyAlignment="1" applyBorder="1" applyFill="1" applyFont="1">
      <alignment horizontal="center" vertical="center"/>
    </xf>
    <xf borderId="32" fillId="17" fontId="12" numFmtId="0" xfId="0" applyAlignment="1" applyBorder="1" applyFill="1" applyFont="1">
      <alignment horizontal="center" shrinkToFit="0" vertical="center" wrapText="1"/>
    </xf>
    <xf borderId="31" fillId="18" fontId="6" numFmtId="0" xfId="0" applyAlignment="1" applyBorder="1" applyFill="1" applyFont="1">
      <alignment horizontal="center" shrinkToFit="0" vertical="center" wrapText="1"/>
    </xf>
    <xf borderId="33" fillId="18" fontId="10" numFmtId="0" xfId="0" applyAlignment="1" applyBorder="1" applyFont="1">
      <alignment horizontal="center" vertical="center"/>
    </xf>
    <xf borderId="34" fillId="18" fontId="10" numFmtId="0" xfId="0" applyAlignment="1" applyBorder="1" applyFont="1">
      <alignment horizontal="center" vertical="center"/>
    </xf>
    <xf borderId="35" fillId="0" fontId="2" numFmtId="0" xfId="0" applyBorder="1" applyFont="1"/>
    <xf borderId="36" fillId="0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readingOrder="0" vertical="center"/>
    </xf>
    <xf borderId="38" fillId="0" fontId="9" numFmtId="0" xfId="0" applyAlignment="1" applyBorder="1" applyFont="1">
      <alignment horizontal="center" vertical="center"/>
    </xf>
    <xf borderId="39" fillId="19" fontId="9" numFmtId="0" xfId="0" applyAlignment="1" applyBorder="1" applyFill="1" applyFont="1">
      <alignment horizontal="center" shrinkToFit="0" vertical="center" wrapText="1"/>
    </xf>
    <xf borderId="40" fillId="20" fontId="9" numFmtId="0" xfId="0" applyAlignment="1" applyBorder="1" applyFill="1" applyFont="1">
      <alignment horizontal="center" shrinkToFit="0" vertical="center" wrapText="1"/>
    </xf>
    <xf borderId="21" fillId="0" fontId="9" numFmtId="0" xfId="0" applyAlignment="1" applyBorder="1" applyFont="1">
      <alignment horizontal="center" vertical="center"/>
    </xf>
    <xf borderId="22" fillId="0" fontId="9" numFmtId="0" xfId="0" applyAlignment="1" applyBorder="1" applyFont="1">
      <alignment horizontal="center" vertical="center"/>
    </xf>
    <xf borderId="41" fillId="0" fontId="9" numFmtId="0" xfId="0" applyAlignment="1" applyBorder="1" applyFont="1">
      <alignment horizontal="center" vertical="center"/>
    </xf>
    <xf borderId="42" fillId="10" fontId="11" numFmtId="0" xfId="0" applyAlignment="1" applyBorder="1" applyFont="1">
      <alignment horizontal="center" shrinkToFit="0" vertical="center" wrapText="1"/>
    </xf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0" fillId="0" fontId="7" numFmtId="0" xfId="0" applyAlignment="1" applyFont="1">
      <alignment vertical="center"/>
    </xf>
    <xf borderId="46" fillId="0" fontId="7" numFmtId="0" xfId="0" applyAlignment="1" applyBorder="1" applyFont="1">
      <alignment horizontal="center"/>
    </xf>
    <xf borderId="47" fillId="0" fontId="7" numFmtId="0" xfId="0" applyAlignment="1" applyBorder="1" applyFont="1">
      <alignment horizontal="left"/>
    </xf>
    <xf borderId="48" fillId="0" fontId="2" numFmtId="0" xfId="0" applyBorder="1" applyFont="1"/>
    <xf borderId="4" fillId="0" fontId="13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49" fillId="0" fontId="7" numFmtId="0" xfId="0" applyAlignment="1" applyBorder="1" applyFont="1">
      <alignment horizontal="center" readingOrder="0" vertical="center"/>
    </xf>
    <xf borderId="49" fillId="0" fontId="7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center" vertical="center"/>
    </xf>
    <xf borderId="50" fillId="0" fontId="7" numFmtId="164" xfId="0" applyAlignment="1" applyBorder="1" applyFont="1" applyNumberFormat="1">
      <alignment horizontal="center"/>
    </xf>
    <xf borderId="46" fillId="0" fontId="7" numFmtId="0" xfId="0" applyAlignment="1" applyBorder="1" applyFont="1">
      <alignment horizontal="center" readingOrder="0" vertical="center"/>
    </xf>
    <xf borderId="7" fillId="0" fontId="7" numFmtId="164" xfId="0" applyAlignment="1" applyBorder="1" applyFont="1" applyNumberFormat="1">
      <alignment horizontal="center"/>
    </xf>
    <xf borderId="46" fillId="0" fontId="7" numFmtId="164" xfId="0" applyAlignment="1" applyBorder="1" applyFont="1" applyNumberFormat="1">
      <alignment horizontal="center" readingOrder="0"/>
    </xf>
    <xf borderId="49" fillId="0" fontId="7" numFmtId="164" xfId="0" applyAlignment="1" applyBorder="1" applyFont="1" applyNumberFormat="1">
      <alignment horizontal="center"/>
    </xf>
    <xf borderId="47" fillId="0" fontId="7" numFmtId="164" xfId="0" applyAlignment="1" applyBorder="1" applyFont="1" applyNumberFormat="1">
      <alignment horizontal="center"/>
    </xf>
    <xf borderId="48" fillId="0" fontId="7" numFmtId="0" xfId="0" applyAlignment="1" applyBorder="1" applyFont="1">
      <alignment horizontal="center" readingOrder="0"/>
    </xf>
    <xf borderId="50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 shrinkToFit="0" wrapText="0"/>
    </xf>
    <xf borderId="51" fillId="14" fontId="7" numFmtId="0" xfId="0" applyAlignment="1" applyBorder="1" applyFont="1">
      <alignment horizontal="center"/>
    </xf>
    <xf borderId="1" fillId="14" fontId="7" numFmtId="0" xfId="0" applyAlignment="1" applyBorder="1" applyFont="1">
      <alignment horizontal="left"/>
    </xf>
    <xf borderId="52" fillId="0" fontId="2" numFmtId="0" xfId="0" applyBorder="1" applyFont="1"/>
    <xf borderId="53" fillId="14" fontId="13" numFmtId="0" xfId="0" applyAlignment="1" applyBorder="1" applyFont="1">
      <alignment horizontal="center" readingOrder="0"/>
    </xf>
    <xf borderId="54" fillId="14" fontId="13" numFmtId="0" xfId="0" applyAlignment="1" applyBorder="1" applyFont="1">
      <alignment horizontal="center" readingOrder="0"/>
    </xf>
    <xf borderId="4" fillId="14" fontId="7" numFmtId="0" xfId="0" applyAlignment="1" applyBorder="1" applyFont="1">
      <alignment horizontal="center" readingOrder="0" vertical="center"/>
    </xf>
    <xf borderId="4" fillId="14" fontId="7" numFmtId="0" xfId="0" applyAlignment="1" applyBorder="1" applyFont="1">
      <alignment horizontal="center" vertical="center"/>
    </xf>
    <xf borderId="55" fillId="14" fontId="7" numFmtId="0" xfId="0" applyAlignment="1" applyBorder="1" applyFont="1">
      <alignment horizontal="center" vertical="center"/>
    </xf>
    <xf borderId="56" fillId="19" fontId="7" numFmtId="164" xfId="0" applyAlignment="1" applyBorder="1" applyFont="1" applyNumberFormat="1">
      <alignment horizontal="center"/>
    </xf>
    <xf borderId="51" fillId="15" fontId="7" numFmtId="0" xfId="0" applyAlignment="1" applyBorder="1" applyFont="1">
      <alignment horizontal="center" readingOrder="0" vertical="center"/>
    </xf>
    <xf borderId="4" fillId="15" fontId="7" numFmtId="0" xfId="0" applyAlignment="1" applyBorder="1" applyFont="1">
      <alignment horizontal="center" readingOrder="0" vertical="center"/>
    </xf>
    <xf borderId="4" fillId="15" fontId="7" numFmtId="0" xfId="0" applyAlignment="1" applyBorder="1" applyFont="1">
      <alignment horizontal="center" vertical="center"/>
    </xf>
    <xf borderId="55" fillId="15" fontId="7" numFmtId="0" xfId="0" applyAlignment="1" applyBorder="1" applyFont="1">
      <alignment horizontal="center" vertical="center"/>
    </xf>
    <xf borderId="57" fillId="20" fontId="7" numFmtId="164" xfId="0" applyAlignment="1" applyBorder="1" applyFont="1" applyNumberFormat="1">
      <alignment horizontal="center"/>
    </xf>
    <xf borderId="51" fillId="5" fontId="7" numFmtId="164" xfId="0" applyAlignment="1" applyBorder="1" applyFont="1" applyNumberFormat="1">
      <alignment horizontal="center" readingOrder="0"/>
    </xf>
    <xf borderId="4" fillId="5" fontId="7" numFmtId="164" xfId="0" applyAlignment="1" applyBorder="1" applyFont="1" applyNumberFormat="1">
      <alignment horizontal="center"/>
    </xf>
    <xf borderId="55" fillId="5" fontId="7" numFmtId="164" xfId="0" applyAlignment="1" applyBorder="1" applyFont="1" applyNumberFormat="1">
      <alignment horizontal="center"/>
    </xf>
    <xf borderId="58" fillId="5" fontId="7" numFmtId="164" xfId="0" applyAlignment="1" applyBorder="1" applyFont="1" applyNumberFormat="1">
      <alignment horizontal="center"/>
    </xf>
    <xf borderId="59" fillId="21" fontId="7" numFmtId="0" xfId="0" applyAlignment="1" applyBorder="1" applyFill="1" applyFont="1">
      <alignment horizontal="center"/>
    </xf>
    <xf borderId="58" fillId="22" fontId="7" numFmtId="0" xfId="0" applyAlignment="1" applyBorder="1" applyFill="1" applyFont="1">
      <alignment horizontal="center" readingOrder="0"/>
    </xf>
    <xf borderId="60" fillId="23" fontId="7" numFmtId="0" xfId="0" applyAlignment="1" applyBorder="1" applyFill="1" applyFont="1">
      <alignment horizontal="center" readingOrder="0"/>
    </xf>
    <xf borderId="13" fillId="13" fontId="7" numFmtId="164" xfId="0" applyAlignment="1" applyBorder="1" applyFont="1" applyNumberFormat="1">
      <alignment horizontal="center"/>
    </xf>
    <xf borderId="51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left"/>
    </xf>
    <xf borderId="53" fillId="0" fontId="13" numFmtId="0" xfId="0" applyAlignment="1" applyBorder="1" applyFont="1">
      <alignment horizontal="center" readingOrder="0"/>
    </xf>
    <xf borderId="54" fillId="0" fontId="13" numFmtId="0" xfId="0" applyAlignment="1" applyBorder="1" applyFont="1">
      <alignment horizontal="center" readingOrder="0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61" fillId="0" fontId="7" numFmtId="164" xfId="0" applyAlignment="1" applyBorder="1" applyFont="1" applyNumberFormat="1">
      <alignment horizontal="center"/>
    </xf>
    <xf borderId="62" fillId="0" fontId="7" numFmtId="0" xfId="0" applyAlignment="1" applyBorder="1" applyFont="1">
      <alignment horizontal="center" readingOrder="0" vertical="center"/>
    </xf>
    <xf borderId="53" fillId="0" fontId="7" numFmtId="0" xfId="0" applyAlignment="1" applyBorder="1" applyFont="1">
      <alignment horizontal="center" readingOrder="0" vertical="center"/>
    </xf>
    <xf borderId="53" fillId="0" fontId="7" numFmtId="0" xfId="0" applyAlignment="1" applyBorder="1" applyFont="1">
      <alignment horizontal="center" vertical="center"/>
    </xf>
    <xf borderId="63" fillId="0" fontId="7" numFmtId="0" xfId="0" applyAlignment="1" applyBorder="1" applyFont="1">
      <alignment horizontal="center" vertical="center"/>
    </xf>
    <xf borderId="64" fillId="0" fontId="7" numFmtId="164" xfId="0" applyAlignment="1" applyBorder="1" applyFont="1" applyNumberFormat="1">
      <alignment horizontal="center"/>
    </xf>
    <xf borderId="51" fillId="0" fontId="7" numFmtId="164" xfId="0" applyAlignment="1" applyBorder="1" applyFont="1" applyNumberFormat="1">
      <alignment horizontal="center" readingOrder="0"/>
    </xf>
    <xf borderId="4" fillId="0" fontId="7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/>
    </xf>
    <xf borderId="58" fillId="0" fontId="7" numFmtId="164" xfId="0" applyAlignment="1" applyBorder="1" applyFont="1" applyNumberFormat="1">
      <alignment horizontal="center"/>
    </xf>
    <xf borderId="52" fillId="0" fontId="7" numFmtId="0" xfId="0" applyAlignment="1" applyBorder="1" applyFont="1">
      <alignment horizontal="center"/>
    </xf>
    <xf borderId="58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 readingOrder="0"/>
    </xf>
    <xf borderId="13" fillId="0" fontId="7" numFmtId="164" xfId="0" applyAlignment="1" applyBorder="1" applyFont="1" applyNumberFormat="1">
      <alignment horizontal="center"/>
    </xf>
    <xf borderId="62" fillId="0" fontId="7" numFmtId="0" xfId="0" applyAlignment="1" applyBorder="1" applyFont="1">
      <alignment horizontal="center" vertical="center"/>
    </xf>
    <xf borderId="58" fillId="0" fontId="7" numFmtId="0" xfId="0" applyAlignment="1" applyBorder="1" applyFont="1">
      <alignment horizontal="center" readingOrder="0"/>
    </xf>
    <xf borderId="51" fillId="15" fontId="7" numFmtId="0" xfId="0" applyAlignment="1" applyBorder="1" applyFont="1">
      <alignment horizontal="center" vertical="center"/>
    </xf>
    <xf borderId="59" fillId="21" fontId="7" numFmtId="0" xfId="0" applyAlignment="1" applyBorder="1" applyFont="1">
      <alignment horizontal="center" readingOrder="0"/>
    </xf>
    <xf borderId="53" fillId="0" fontId="14" numFmtId="0" xfId="0" applyAlignment="1" applyBorder="1" applyFont="1">
      <alignment horizontal="center" readingOrder="0" shrinkToFit="0" wrapText="0"/>
    </xf>
    <xf borderId="52" fillId="0" fontId="7" numFmtId="0" xfId="0" applyAlignment="1" applyBorder="1" applyFont="1">
      <alignment horizontal="center" readingOrder="0"/>
    </xf>
    <xf borderId="58" fillId="5" fontId="7" numFmtId="164" xfId="0" applyAlignment="1" applyBorder="1" applyFont="1" applyNumberFormat="1">
      <alignment horizontal="center" readingOrder="0"/>
    </xf>
    <xf borderId="58" fillId="22" fontId="7" numFmtId="0" xfId="0" applyAlignment="1" applyBorder="1" applyFont="1">
      <alignment horizontal="center"/>
    </xf>
    <xf borderId="65" fillId="0" fontId="14" numFmtId="0" xfId="0" applyAlignment="1" applyBorder="1" applyFont="1">
      <alignment horizontal="center" readingOrder="0" shrinkToFit="0" wrapText="0"/>
    </xf>
    <xf borderId="51" fillId="14" fontId="7" numFmtId="0" xfId="0" applyAlignment="1" applyBorder="1" applyFont="1">
      <alignment horizontal="center" vertical="center"/>
    </xf>
    <xf borderId="51" fillId="5" fontId="7" numFmtId="164" xfId="0" applyAlignment="1" applyBorder="1" applyFont="1" applyNumberFormat="1">
      <alignment horizontal="center"/>
    </xf>
    <xf borderId="60" fillId="23" fontId="7" numFmtId="0" xfId="0" applyAlignment="1" applyBorder="1" applyFont="1">
      <alignment horizontal="center"/>
    </xf>
    <xf borderId="0" fillId="0" fontId="14" numFmtId="0" xfId="0" applyAlignment="1" applyFont="1">
      <alignment horizontal="center" shrinkToFit="0" wrapText="0"/>
    </xf>
    <xf borderId="51" fillId="0" fontId="7" numFmtId="0" xfId="0" applyAlignment="1" applyBorder="1" applyFont="1">
      <alignment horizontal="center" vertical="center"/>
    </xf>
    <xf borderId="51" fillId="0" fontId="7" numFmtId="164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4" fillId="14" fontId="7" numFmtId="0" xfId="0" applyAlignment="1" applyBorder="1" applyFont="1">
      <alignment horizontal="center"/>
    </xf>
    <xf borderId="55" fillId="14" fontId="7" numFmtId="0" xfId="0" applyAlignment="1" applyBorder="1" applyFont="1">
      <alignment horizontal="center"/>
    </xf>
    <xf borderId="58" fillId="13" fontId="7" numFmtId="164" xfId="0" applyAlignment="1" applyBorder="1" applyFont="1" applyNumberFormat="1">
      <alignment horizontal="center"/>
    </xf>
    <xf borderId="66" fillId="0" fontId="7" numFmtId="0" xfId="0" applyAlignment="1" applyBorder="1" applyFont="1">
      <alignment horizontal="center"/>
    </xf>
    <xf borderId="67" fillId="0" fontId="7" numFmtId="0" xfId="0" applyAlignment="1" applyBorder="1" applyFont="1">
      <alignment horizontal="center"/>
    </xf>
    <xf borderId="68" fillId="0" fontId="7" numFmtId="0" xfId="0" applyAlignment="1" applyBorder="1" applyFont="1">
      <alignment horizontal="center"/>
    </xf>
    <xf borderId="69" fillId="0" fontId="7" numFmtId="164" xfId="0" applyAlignment="1" applyBorder="1" applyFont="1" applyNumberFormat="1">
      <alignment horizontal="center"/>
    </xf>
    <xf borderId="66" fillId="0" fontId="7" numFmtId="0" xfId="0" applyAlignment="1" applyBorder="1" applyFont="1">
      <alignment horizontal="center" vertical="center"/>
    </xf>
    <xf borderId="67" fillId="0" fontId="7" numFmtId="0" xfId="0" applyAlignment="1" applyBorder="1" applyFont="1">
      <alignment horizontal="center" vertical="center"/>
    </xf>
    <xf borderId="68" fillId="0" fontId="7" numFmtId="0" xfId="0" applyAlignment="1" applyBorder="1" applyFont="1">
      <alignment horizontal="center" vertical="center"/>
    </xf>
    <xf borderId="70" fillId="0" fontId="7" numFmtId="164" xfId="0" applyAlignment="1" applyBorder="1" applyFont="1" applyNumberFormat="1">
      <alignment horizontal="center"/>
    </xf>
    <xf borderId="66" fillId="0" fontId="7" numFmtId="164" xfId="0" applyAlignment="1" applyBorder="1" applyFont="1" applyNumberFormat="1">
      <alignment horizontal="center"/>
    </xf>
    <xf borderId="67" fillId="0" fontId="7" numFmtId="164" xfId="0" applyAlignment="1" applyBorder="1" applyFont="1" applyNumberFormat="1">
      <alignment horizontal="center"/>
    </xf>
    <xf borderId="68" fillId="0" fontId="7" numFmtId="164" xfId="0" applyAlignment="1" applyBorder="1" applyFont="1" applyNumberFormat="1">
      <alignment horizontal="center"/>
    </xf>
    <xf borderId="71" fillId="0" fontId="7" numFmtId="164" xfId="0" applyAlignment="1" applyBorder="1" applyFont="1" applyNumberFormat="1">
      <alignment horizontal="center"/>
    </xf>
    <xf borderId="72" fillId="0" fontId="7" numFmtId="0" xfId="0" applyAlignment="1" applyBorder="1" applyFont="1">
      <alignment horizontal="center"/>
    </xf>
    <xf borderId="71" fillId="0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73" fillId="10" fontId="15" numFmtId="164" xfId="0" applyAlignment="1" applyBorder="1" applyFont="1" applyNumberFormat="1">
      <alignment horizontal="center" vertical="center"/>
    </xf>
    <xf borderId="74" fillId="5" fontId="7" numFmtId="0" xfId="0" applyAlignment="1" applyBorder="1" applyFont="1">
      <alignment horizontal="center" readingOrder="0" textRotation="90"/>
    </xf>
    <xf borderId="75" fillId="0" fontId="2" numFmtId="0" xfId="0" applyBorder="1" applyFont="1"/>
    <xf borderId="76" fillId="0" fontId="2" numFmtId="0" xfId="0" applyBorder="1" applyFont="1"/>
    <xf borderId="75" fillId="0" fontId="9" numFmtId="0" xfId="0" applyAlignment="1" applyBorder="1" applyFont="1">
      <alignment horizontal="center" readingOrder="0" vertical="center"/>
    </xf>
    <xf borderId="8" fillId="0" fontId="7" numFmtId="164" xfId="0" applyAlignment="1" applyBorder="1" applyFont="1" applyNumberFormat="1">
      <alignment horizontal="center" readingOrder="0"/>
    </xf>
    <xf borderId="3" fillId="5" fontId="7" numFmtId="164" xfId="0" applyAlignment="1" applyBorder="1" applyFont="1" applyNumberFormat="1">
      <alignment horizontal="center" readingOrder="0"/>
    </xf>
    <xf borderId="3" fillId="0" fontId="7" numFmtId="164" xfId="0" applyAlignment="1" applyBorder="1" applyFont="1" applyNumberFormat="1">
      <alignment horizontal="center" readingOrder="0"/>
    </xf>
    <xf borderId="13" fillId="13" fontId="7" numFmtId="164" xfId="0" applyAlignment="1" applyBorder="1" applyFont="1" applyNumberFormat="1">
      <alignment horizontal="center" readingOrder="0"/>
    </xf>
    <xf borderId="61" fillId="19" fontId="7" numFmtId="164" xfId="0" applyAlignment="1" applyBorder="1" applyFont="1" applyNumberFormat="1">
      <alignment horizontal="center"/>
    </xf>
    <xf borderId="64" fillId="20" fontId="7" numFmtId="164" xfId="0" applyAlignment="1" applyBorder="1" applyFont="1" applyNumberFormat="1">
      <alignment horizontal="center"/>
    </xf>
    <xf borderId="58" fillId="10" fontId="7" numFmtId="164" xfId="0" applyAlignment="1" applyBorder="1" applyFont="1" applyNumberFormat="1">
      <alignment horizontal="center"/>
    </xf>
    <xf borderId="3" fillId="0" fontId="7" numFmtId="164" xfId="0" applyAlignment="1" applyBorder="1" applyFont="1" applyNumberFormat="1">
      <alignment horizontal="center"/>
    </xf>
    <xf borderId="3" fillId="5" fontId="7" numFmtId="164" xfId="0" applyAlignment="1" applyBorder="1" applyFont="1" applyNumberFormat="1">
      <alignment horizontal="center"/>
    </xf>
    <xf borderId="25" fillId="0" fontId="7" numFmtId="164" xfId="0" applyAlignment="1" applyBorder="1" applyFont="1" applyNumberFormat="1">
      <alignment horizontal="center"/>
    </xf>
    <xf borderId="50" fillId="14" fontId="7" numFmtId="164" xfId="0" applyAlignment="1" applyBorder="1" applyFont="1" applyNumberFormat="1">
      <alignment horizontal="center"/>
    </xf>
    <xf borderId="7" fillId="3" fontId="7" numFmtId="164" xfId="0" applyAlignment="1" applyBorder="1" applyFont="1" applyNumberFormat="1">
      <alignment horizontal="center"/>
    </xf>
    <xf borderId="7" fillId="3" fontId="7" numFmtId="164" xfId="0" applyAlignment="1" applyBorder="1" applyFont="1" applyNumberFormat="1">
      <alignment horizontal="center" readingOrder="0"/>
    </xf>
    <xf borderId="51" fillId="14" fontId="7" numFmtId="0" xfId="0" applyAlignment="1" applyBorder="1" applyFont="1">
      <alignment horizontal="center" readingOrder="0" vertical="center"/>
    </xf>
    <xf borderId="7" fillId="0" fontId="16" numFmtId="0" xfId="0" applyAlignment="1" applyBorder="1" applyFont="1">
      <alignment horizontal="center"/>
    </xf>
    <xf borderId="77" fillId="0" fontId="2" numFmtId="0" xfId="0" applyBorder="1" applyFont="1"/>
    <xf borderId="9" fillId="0" fontId="8" numFmtId="164" xfId="0" applyAlignment="1" applyBorder="1" applyFont="1" applyNumberFormat="1">
      <alignment horizontal="center" vertical="center"/>
    </xf>
    <xf borderId="14" fillId="0" fontId="8" numFmtId="164" xfId="0" applyAlignment="1" applyBorder="1" applyFont="1" applyNumberFormat="1">
      <alignment horizontal="center" vertical="center"/>
    </xf>
    <xf borderId="0" fillId="24" fontId="17" numFmtId="0" xfId="0" applyAlignment="1" applyFill="1" applyFont="1">
      <alignment horizontal="center" readingOrder="0"/>
    </xf>
    <xf borderId="14" fillId="24" fontId="8" numFmtId="164" xfId="0" applyAlignment="1" applyBorder="1" applyFont="1" applyNumberFormat="1">
      <alignment horizontal="center" vertical="center"/>
    </xf>
    <xf borderId="13" fillId="25" fontId="7" numFmtId="0" xfId="0" applyAlignment="1" applyBorder="1" applyFill="1" applyFont="1">
      <alignment horizontal="center" readingOrder="0" vertical="center"/>
    </xf>
    <xf borderId="14" fillId="25" fontId="8" numFmtId="164" xfId="0" applyAlignment="1" applyBorder="1" applyFont="1" applyNumberFormat="1">
      <alignment horizontal="center" vertical="center"/>
    </xf>
    <xf borderId="13" fillId="11" fontId="7" numFmtId="0" xfId="0" applyAlignment="1" applyBorder="1" applyFont="1">
      <alignment horizontal="center" readingOrder="0"/>
    </xf>
    <xf borderId="14" fillId="11" fontId="8" numFmtId="164" xfId="0" applyAlignment="1" applyBorder="1" applyFont="1" applyNumberFormat="1">
      <alignment horizontal="center" vertical="center"/>
    </xf>
    <xf borderId="24" fillId="0" fontId="18" numFmtId="0" xfId="0" applyAlignment="1" applyBorder="1" applyFont="1">
      <alignment horizontal="center"/>
    </xf>
    <xf borderId="78" fillId="0" fontId="2" numFmtId="0" xfId="0" applyBorder="1" applyFont="1"/>
    <xf borderId="26" fillId="0" fontId="10" numFmtId="164" xfId="0" applyAlignment="1" applyBorder="1" applyFont="1" applyNumberFormat="1">
      <alignment horizontal="center" vertical="center"/>
    </xf>
    <xf borderId="79" fillId="15" fontId="10" numFmtId="0" xfId="0" applyAlignment="1" applyBorder="1" applyFont="1">
      <alignment horizontal="center" shrinkToFit="0" vertical="center" wrapText="1"/>
    </xf>
    <xf borderId="16" fillId="15" fontId="10" numFmtId="0" xfId="0" applyAlignment="1" applyBorder="1" applyFont="1">
      <alignment horizontal="center" shrinkToFit="0" vertical="center" wrapText="1"/>
    </xf>
    <xf borderId="79" fillId="11" fontId="19" numFmtId="0" xfId="0" applyAlignment="1" applyBorder="1" applyFont="1">
      <alignment horizontal="center" readingOrder="0" shrinkToFit="0" vertical="center" wrapText="1"/>
    </xf>
    <xf borderId="79" fillId="25" fontId="12" numFmtId="0" xfId="0" applyAlignment="1" applyBorder="1" applyFont="1">
      <alignment horizontal="center" readingOrder="0" shrinkToFit="0" vertical="center" wrapText="1"/>
    </xf>
    <xf borderId="79" fillId="26" fontId="12" numFmtId="0" xfId="0" applyAlignment="1" applyBorder="1" applyFill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80" fillId="7" fontId="7" numFmtId="0" xfId="0" applyAlignment="1" applyBorder="1" applyFont="1">
      <alignment horizontal="center"/>
    </xf>
    <xf borderId="81" fillId="7" fontId="7" numFmtId="0" xfId="0" applyAlignment="1" applyBorder="1" applyFont="1">
      <alignment horizontal="left"/>
    </xf>
    <xf borderId="82" fillId="0" fontId="2" numFmtId="0" xfId="0" applyBorder="1" applyFont="1"/>
    <xf borderId="56" fillId="11" fontId="7" numFmtId="164" xfId="0" applyAlignment="1" applyBorder="1" applyFont="1" applyNumberFormat="1">
      <alignment horizontal="center"/>
    </xf>
    <xf borderId="56" fillId="25" fontId="7" numFmtId="164" xfId="0" applyAlignment="1" applyBorder="1" applyFont="1" applyNumberFormat="1">
      <alignment horizontal="center"/>
    </xf>
    <xf borderId="56" fillId="24" fontId="7" numFmtId="164" xfId="0" applyAlignment="1" applyBorder="1" applyFont="1" applyNumberFormat="1">
      <alignment horizontal="center"/>
    </xf>
    <xf borderId="56" fillId="0" fontId="7" numFmtId="164" xfId="0" applyAlignment="1" applyBorder="1" applyFont="1" applyNumberFormat="1">
      <alignment horizontal="center"/>
    </xf>
    <xf borderId="4" fillId="7" fontId="7" numFmtId="0" xfId="0" applyAlignment="1" applyBorder="1" applyFont="1">
      <alignment horizontal="center"/>
    </xf>
    <xf borderId="1" fillId="7" fontId="7" numFmtId="0" xfId="0" applyAlignment="1" applyBorder="1" applyFont="1">
      <alignment horizontal="left"/>
    </xf>
    <xf borderId="58" fillId="11" fontId="7" numFmtId="164" xfId="0" applyAlignment="1" applyBorder="1" applyFont="1" applyNumberFormat="1">
      <alignment horizontal="center"/>
    </xf>
    <xf borderId="73" fillId="10" fontId="6" numFmtId="164" xfId="0" applyAlignment="1" applyBorder="1" applyFont="1" applyNumberFormat="1">
      <alignment horizontal="center" vertical="center"/>
    </xf>
    <xf borderId="0" fillId="0" fontId="8" numFmtId="0" xfId="0" applyFont="1"/>
    <xf borderId="1" fillId="15" fontId="20" numFmtId="0" xfId="0" applyAlignment="1" applyBorder="1" applyFont="1">
      <alignment horizontal="center"/>
    </xf>
    <xf borderId="4" fillId="3" fontId="20" numFmtId="0" xfId="0" applyBorder="1" applyFont="1"/>
    <xf borderId="4" fillId="3" fontId="21" numFmtId="0" xfId="0" applyAlignment="1" applyBorder="1" applyFont="1">
      <alignment horizontal="center" vertical="center"/>
    </xf>
    <xf borderId="4" fillId="4" fontId="20" numFmtId="0" xfId="0" applyBorder="1" applyFont="1"/>
    <xf borderId="4" fillId="4" fontId="21" numFmtId="0" xfId="0" applyAlignment="1" applyBorder="1" applyFont="1">
      <alignment horizontal="center" vertical="center"/>
    </xf>
    <xf borderId="4" fillId="3" fontId="20" numFmtId="0" xfId="0" applyAlignment="1" applyBorder="1" applyFont="1">
      <alignment horizontal="left" vertical="center"/>
    </xf>
    <xf borderId="4" fillId="15" fontId="22" numFmtId="0" xfId="0" applyAlignment="1" applyBorder="1" applyFont="1">
      <alignment horizontal="center" readingOrder="0"/>
    </xf>
    <xf borderId="4" fillId="15" fontId="23" numFmtId="0" xfId="0" applyAlignment="1" applyBorder="1" applyFont="1">
      <alignment horizontal="center" vertical="center"/>
    </xf>
    <xf borderId="4" fillId="4" fontId="21" numFmtId="164" xfId="0" applyAlignment="1" applyBorder="1" applyFont="1" applyNumberFormat="1">
      <alignment horizontal="center" vertical="center"/>
    </xf>
    <xf borderId="4" fillId="4" fontId="22" numFmtId="0" xfId="0" applyAlignment="1" applyBorder="1" applyFont="1">
      <alignment horizontal="left" readingOrder="0"/>
    </xf>
    <xf borderId="4" fillId="4" fontId="22" numFmtId="0" xfId="0" applyAlignment="1" applyBorder="1" applyFont="1">
      <alignment readingOrder="0"/>
    </xf>
    <xf borderId="4" fillId="4" fontId="21" numFmtId="164" xfId="0" applyAlignment="1" applyBorder="1" applyFont="1" applyNumberFormat="1">
      <alignment horizontal="center" readingOrder="0" vertical="center"/>
    </xf>
    <xf borderId="4" fillId="3" fontId="22" numFmtId="0" xfId="0" applyAlignment="1" applyBorder="1" applyFont="1">
      <alignment readingOrder="0"/>
    </xf>
    <xf borderId="4" fillId="3" fontId="21" numFmtId="164" xfId="0" applyAlignment="1" applyBorder="1" applyFont="1" applyNumberFormat="1">
      <alignment horizontal="center" vertical="center"/>
    </xf>
    <xf borderId="4" fillId="15" fontId="20" numFmtId="0" xfId="0" applyAlignment="1" applyBorder="1" applyFont="1">
      <alignment horizontal="right"/>
    </xf>
    <xf borderId="4" fillId="15" fontId="21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RESULTADOS!$C$8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RESULTADOS!$B$9:$B$12</c:f>
            </c:strRef>
          </c:cat>
          <c:val>
            <c:numRef>
              <c:f>RESULTADOS!$C$9:$C$12</c:f>
              <c:numCache/>
            </c:numRef>
          </c:val>
        </c:ser>
        <c:axId val="405491285"/>
        <c:axId val="1980424797"/>
      </c:barChart>
      <c:catAx>
        <c:axId val="405491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0424797"/>
      </c:catAx>
      <c:valAx>
        <c:axId val="198042479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05491285"/>
      </c:valAx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2</xdr:row>
      <xdr:rowOff>0</xdr:rowOff>
    </xdr:from>
    <xdr:ext cx="704850" cy="295275"/>
    <xdr:sp>
      <xdr:nvSpPr>
        <xdr:cNvPr id="3" name="Shape 3"/>
        <xdr:cNvSpPr txBox="1"/>
      </xdr:nvSpPr>
      <xdr:spPr>
        <a:xfrm>
          <a:off x="4998338" y="3637125"/>
          <a:ext cx="6953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GRUPO: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0</xdr:rowOff>
    </xdr:from>
    <xdr:ext cx="323850" cy="219075"/>
    <xdr:sp>
      <xdr:nvSpPr>
        <xdr:cNvPr descr="ᐈ Portadas Campos Formativos - Material Educativo y Material Didáctico  Maestra Judith" id="4" name="Shape 4"/>
        <xdr:cNvSpPr/>
      </xdr:nvSpPr>
      <xdr:spPr>
        <a:xfrm>
          <a:off x="5188838" y="3675225"/>
          <a:ext cx="314325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23850" cy="323850"/>
    <xdr:sp>
      <xdr:nvSpPr>
        <xdr:cNvPr descr="ᐈ Portadas Campos Formativos - Material Educativo y Material Didáctico  Maestra Judith"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2</xdr:row>
      <xdr:rowOff>0</xdr:rowOff>
    </xdr:from>
    <xdr:ext cx="704850" cy="295275"/>
    <xdr:sp>
      <xdr:nvSpPr>
        <xdr:cNvPr id="3" name="Shape 3"/>
        <xdr:cNvSpPr txBox="1"/>
      </xdr:nvSpPr>
      <xdr:spPr>
        <a:xfrm>
          <a:off x="4998338" y="3637125"/>
          <a:ext cx="6953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GRUPO: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0</xdr:rowOff>
    </xdr:from>
    <xdr:ext cx="323850" cy="219075"/>
    <xdr:sp>
      <xdr:nvSpPr>
        <xdr:cNvPr descr="ᐈ Portadas Campos Formativos - Material Educativo y Material Didáctico  Maestra Judith" id="4" name="Shape 4"/>
        <xdr:cNvSpPr/>
      </xdr:nvSpPr>
      <xdr:spPr>
        <a:xfrm>
          <a:off x="5188838" y="3675225"/>
          <a:ext cx="314325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23850" cy="323850"/>
    <xdr:sp>
      <xdr:nvSpPr>
        <xdr:cNvPr descr="ᐈ Portadas Campos Formativos - Material Educativo y Material Didáctico  Maestra Judith"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2</xdr:row>
      <xdr:rowOff>0</xdr:rowOff>
    </xdr:from>
    <xdr:ext cx="704850" cy="295275"/>
    <xdr:sp>
      <xdr:nvSpPr>
        <xdr:cNvPr id="3" name="Shape 3"/>
        <xdr:cNvSpPr txBox="1"/>
      </xdr:nvSpPr>
      <xdr:spPr>
        <a:xfrm>
          <a:off x="4998338" y="3637125"/>
          <a:ext cx="6953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GRUPO: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0</xdr:rowOff>
    </xdr:from>
    <xdr:ext cx="323850" cy="219075"/>
    <xdr:sp>
      <xdr:nvSpPr>
        <xdr:cNvPr descr="ᐈ Portadas Campos Formativos - Material Educativo y Material Didáctico  Maestra Judith" id="4" name="Shape 4"/>
        <xdr:cNvSpPr/>
      </xdr:nvSpPr>
      <xdr:spPr>
        <a:xfrm>
          <a:off x="5188838" y="3675225"/>
          <a:ext cx="314325" cy="2095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</xdr:row>
      <xdr:rowOff>0</xdr:rowOff>
    </xdr:from>
    <xdr:ext cx="323850" cy="323850"/>
    <xdr:sp>
      <xdr:nvSpPr>
        <xdr:cNvPr descr="ᐈ Portadas Campos Formativos - Material Educativo y Material Didáctico  Maestra Judith" id="5" name="Shape 5"/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1219200</xdr:colOff>
      <xdr:row>2</xdr:row>
      <xdr:rowOff>0</xdr:rowOff>
    </xdr:from>
    <xdr:ext cx="704850" cy="295275"/>
    <xdr:sp>
      <xdr:nvSpPr>
        <xdr:cNvPr id="6" name="Shape 6"/>
        <xdr:cNvSpPr txBox="1"/>
      </xdr:nvSpPr>
      <xdr:spPr>
        <a:xfrm>
          <a:off x="4998338" y="3637125"/>
          <a:ext cx="695325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GRUPO: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723900</xdr:colOff>
      <xdr:row>1</xdr:row>
      <xdr:rowOff>28575</xdr:rowOff>
    </xdr:from>
    <xdr:ext cx="5724525" cy="2847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6.13"/>
    <col customWidth="1" min="3" max="3" width="32.38"/>
    <col customWidth="1" min="4" max="4" width="48.88"/>
    <col customWidth="1" min="5" max="6" width="10.75"/>
    <col customWidth="1" min="7" max="26" width="14.38"/>
  </cols>
  <sheetData>
    <row r="2">
      <c r="B2" s="1" t="s">
        <v>0</v>
      </c>
      <c r="C2" s="2"/>
      <c r="D2" s="3"/>
    </row>
    <row r="3">
      <c r="B3" s="4" t="s">
        <v>1</v>
      </c>
      <c r="C3" s="4"/>
      <c r="D3" s="5" t="s">
        <v>2</v>
      </c>
    </row>
    <row r="4">
      <c r="B4" s="6" t="s">
        <v>3</v>
      </c>
      <c r="C4" s="6"/>
      <c r="D4" s="7" t="s">
        <v>4</v>
      </c>
    </row>
    <row r="5">
      <c r="B5" s="8" t="s">
        <v>5</v>
      </c>
      <c r="C5" s="8"/>
      <c r="D5" s="9">
        <v>3.0</v>
      </c>
    </row>
    <row r="6">
      <c r="B6" s="6" t="s">
        <v>6</v>
      </c>
      <c r="C6" s="6"/>
      <c r="D6" s="10" t="s">
        <v>7</v>
      </c>
    </row>
    <row r="9">
      <c r="B9" s="1" t="s">
        <v>8</v>
      </c>
      <c r="C9" s="2"/>
      <c r="D9" s="3"/>
    </row>
    <row r="10">
      <c r="B10" s="4" t="s">
        <v>9</v>
      </c>
      <c r="C10" s="11" t="s">
        <v>10</v>
      </c>
      <c r="D10" s="3"/>
    </row>
    <row r="11">
      <c r="B11" s="12">
        <v>1.0</v>
      </c>
      <c r="C11" s="13" t="s">
        <v>11</v>
      </c>
      <c r="D11" s="14"/>
    </row>
    <row r="12">
      <c r="B12" s="15">
        <v>2.0</v>
      </c>
      <c r="C12" s="16" t="s">
        <v>12</v>
      </c>
      <c r="D12" s="17"/>
    </row>
    <row r="13">
      <c r="B13" s="12">
        <v>3.0</v>
      </c>
      <c r="C13" s="13" t="s">
        <v>13</v>
      </c>
      <c r="D13" s="14"/>
    </row>
    <row r="14">
      <c r="B14" s="15">
        <v>4.0</v>
      </c>
      <c r="C14" s="16" t="s">
        <v>14</v>
      </c>
      <c r="D14" s="17"/>
    </row>
    <row r="15">
      <c r="B15" s="12">
        <v>5.0</v>
      </c>
      <c r="C15" s="13" t="s">
        <v>15</v>
      </c>
      <c r="D15" s="14"/>
    </row>
    <row r="16">
      <c r="B16" s="15">
        <v>6.0</v>
      </c>
      <c r="C16" s="16" t="s">
        <v>16</v>
      </c>
      <c r="D16" s="17"/>
    </row>
    <row r="17">
      <c r="B17" s="12">
        <v>7.0</v>
      </c>
      <c r="C17" s="13" t="s">
        <v>17</v>
      </c>
      <c r="D17" s="14"/>
    </row>
    <row r="18">
      <c r="B18" s="15">
        <v>8.0</v>
      </c>
      <c r="C18" s="16" t="s">
        <v>18</v>
      </c>
      <c r="D18" s="17"/>
    </row>
    <row r="19">
      <c r="B19" s="12">
        <v>9.0</v>
      </c>
      <c r="C19" s="13" t="s">
        <v>19</v>
      </c>
      <c r="D19" s="14"/>
    </row>
    <row r="20">
      <c r="B20" s="15">
        <v>10.0</v>
      </c>
      <c r="C20" s="16" t="s">
        <v>20</v>
      </c>
      <c r="D20" s="17"/>
    </row>
    <row r="21" ht="15.75" customHeight="1">
      <c r="B21" s="12">
        <v>11.0</v>
      </c>
      <c r="C21" s="13" t="s">
        <v>21</v>
      </c>
      <c r="D21" s="14"/>
    </row>
    <row r="22" ht="15.75" customHeight="1">
      <c r="B22" s="15">
        <v>12.0</v>
      </c>
      <c r="C22" s="16" t="s">
        <v>22</v>
      </c>
      <c r="D22" s="17"/>
    </row>
    <row r="23" ht="15.75" customHeight="1">
      <c r="B23" s="12">
        <v>13.0</v>
      </c>
      <c r="C23" s="13" t="s">
        <v>23</v>
      </c>
      <c r="D23" s="14"/>
    </row>
    <row r="24" ht="15.75" customHeight="1">
      <c r="B24" s="15">
        <v>14.0</v>
      </c>
      <c r="C24" s="16" t="s">
        <v>24</v>
      </c>
      <c r="D24" s="17"/>
    </row>
    <row r="25" ht="15.75" customHeight="1">
      <c r="B25" s="12">
        <v>15.0</v>
      </c>
      <c r="C25" s="13" t="s">
        <v>25</v>
      </c>
      <c r="D25" s="14"/>
    </row>
    <row r="26" ht="15.75" customHeight="1">
      <c r="B26" s="15">
        <v>16.0</v>
      </c>
      <c r="C26" s="16" t="s">
        <v>26</v>
      </c>
      <c r="D26" s="17"/>
    </row>
    <row r="27" ht="15.75" customHeight="1">
      <c r="B27" s="12">
        <v>17.0</v>
      </c>
      <c r="C27" s="13" t="s">
        <v>27</v>
      </c>
      <c r="D27" s="14"/>
    </row>
    <row r="28" ht="15.75" customHeight="1">
      <c r="B28" s="15">
        <v>18.0</v>
      </c>
      <c r="C28" s="16" t="s">
        <v>28</v>
      </c>
      <c r="D28" s="17"/>
    </row>
    <row r="29" ht="15.75" customHeight="1">
      <c r="B29" s="12">
        <v>19.0</v>
      </c>
      <c r="C29" s="13" t="s">
        <v>29</v>
      </c>
      <c r="D29" s="14"/>
    </row>
    <row r="30" ht="15.75" customHeight="1">
      <c r="B30" s="15">
        <v>20.0</v>
      </c>
      <c r="C30" s="16" t="s">
        <v>30</v>
      </c>
      <c r="D30" s="17"/>
    </row>
    <row r="31" ht="15.75" customHeight="1">
      <c r="B31" s="12">
        <v>21.0</v>
      </c>
      <c r="C31" s="13" t="s">
        <v>31</v>
      </c>
      <c r="D31" s="14"/>
    </row>
    <row r="32" ht="15.75" customHeight="1">
      <c r="B32" s="15">
        <v>22.0</v>
      </c>
      <c r="C32" s="16" t="s">
        <v>32</v>
      </c>
      <c r="D32" s="17"/>
    </row>
    <row r="33" ht="15.75" customHeight="1">
      <c r="B33" s="12">
        <v>23.0</v>
      </c>
      <c r="C33" s="13" t="s">
        <v>33</v>
      </c>
      <c r="D33" s="14"/>
    </row>
    <row r="34" ht="15.75" customHeight="1">
      <c r="B34" s="15">
        <v>24.0</v>
      </c>
      <c r="C34" s="16" t="s">
        <v>34</v>
      </c>
      <c r="D34" s="17"/>
    </row>
    <row r="35" ht="15.75" customHeight="1">
      <c r="B35" s="12">
        <v>25.0</v>
      </c>
      <c r="C35" s="13" t="s">
        <v>35</v>
      </c>
      <c r="D35" s="14"/>
    </row>
    <row r="36" ht="15.75" customHeight="1">
      <c r="B36" s="15">
        <v>26.0</v>
      </c>
      <c r="C36" s="16" t="s">
        <v>36</v>
      </c>
      <c r="D36" s="17"/>
    </row>
    <row r="37" ht="15.75" customHeight="1">
      <c r="B37" s="12">
        <v>27.0</v>
      </c>
      <c r="C37" s="13" t="s">
        <v>37</v>
      </c>
      <c r="D37" s="14"/>
    </row>
    <row r="38" ht="15.75" customHeight="1">
      <c r="B38" s="15">
        <v>28.0</v>
      </c>
      <c r="C38" s="16" t="s">
        <v>38</v>
      </c>
      <c r="D38" s="17"/>
    </row>
    <row r="39" ht="15.75" customHeight="1">
      <c r="B39" s="12">
        <v>29.0</v>
      </c>
      <c r="C39" s="13" t="s">
        <v>39</v>
      </c>
      <c r="D39" s="14"/>
    </row>
    <row r="40" ht="15.75" customHeight="1">
      <c r="B40" s="15">
        <v>30.0</v>
      </c>
      <c r="C40" s="18" t="s">
        <v>40</v>
      </c>
      <c r="D40" s="17"/>
    </row>
    <row r="41" ht="15.75" customHeight="1">
      <c r="B41" s="12">
        <v>31.0</v>
      </c>
      <c r="C41" s="19"/>
      <c r="D41" s="14"/>
    </row>
    <row r="42" ht="15.75" customHeight="1">
      <c r="B42" s="15">
        <v>32.0</v>
      </c>
      <c r="C42" s="20"/>
      <c r="D42" s="3"/>
    </row>
    <row r="43" ht="15.75" customHeight="1">
      <c r="B43" s="12">
        <v>33.0</v>
      </c>
      <c r="C43" s="19"/>
      <c r="D43" s="3"/>
    </row>
    <row r="44" ht="15.75" customHeight="1">
      <c r="B44" s="15">
        <v>34.0</v>
      </c>
      <c r="C44" s="20"/>
      <c r="D44" s="3"/>
    </row>
    <row r="45" ht="15.75" customHeight="1">
      <c r="B45" s="12">
        <v>35.0</v>
      </c>
      <c r="C45" s="19"/>
      <c r="D45" s="3"/>
    </row>
    <row r="46" ht="15.75" customHeight="1">
      <c r="B46" s="15">
        <v>36.0</v>
      </c>
      <c r="C46" s="20"/>
      <c r="D46" s="3"/>
    </row>
    <row r="47" ht="15.75" customHeight="1">
      <c r="B47" s="12">
        <v>37.0</v>
      </c>
      <c r="C47" s="19"/>
      <c r="D47" s="3"/>
    </row>
    <row r="48" ht="15.75" customHeight="1">
      <c r="B48" s="15">
        <v>38.0</v>
      </c>
      <c r="C48" s="20"/>
      <c r="D48" s="3"/>
    </row>
    <row r="49" ht="15.75" customHeight="1">
      <c r="B49" s="12">
        <v>39.0</v>
      </c>
      <c r="C49" s="19"/>
      <c r="D49" s="3"/>
    </row>
    <row r="50" ht="15.75" customHeight="1">
      <c r="B50" s="15">
        <v>40.0</v>
      </c>
      <c r="C50" s="20"/>
      <c r="D50" s="3"/>
    </row>
    <row r="51" ht="15.75" customHeight="1">
      <c r="B51" s="12">
        <v>41.0</v>
      </c>
      <c r="C51" s="19"/>
      <c r="D51" s="3"/>
    </row>
    <row r="52" ht="15.75" customHeight="1">
      <c r="B52" s="15">
        <v>42.0</v>
      </c>
      <c r="C52" s="20"/>
      <c r="D52" s="3"/>
    </row>
    <row r="53" ht="15.75" customHeight="1">
      <c r="B53" s="12">
        <v>43.0</v>
      </c>
      <c r="C53" s="19"/>
      <c r="D53" s="3"/>
    </row>
    <row r="54" ht="15.75" customHeight="1">
      <c r="B54" s="15">
        <v>44.0</v>
      </c>
      <c r="C54" s="20"/>
      <c r="D54" s="3"/>
    </row>
    <row r="55" ht="15.75" customHeight="1">
      <c r="B55" s="12">
        <v>45.0</v>
      </c>
      <c r="C55" s="19"/>
      <c r="D55" s="3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2:D2"/>
    <mergeCell ref="B9:D9"/>
    <mergeCell ref="C10:D10"/>
    <mergeCell ref="C42:D42"/>
    <mergeCell ref="C43:D43"/>
    <mergeCell ref="C44:D44"/>
    <mergeCell ref="C45:D45"/>
    <mergeCell ref="C53:D53"/>
    <mergeCell ref="C54:D54"/>
    <mergeCell ref="C55:D55"/>
    <mergeCell ref="C46:D46"/>
    <mergeCell ref="C47:D47"/>
    <mergeCell ref="C48:D48"/>
    <mergeCell ref="C49:D49"/>
    <mergeCell ref="C50:D50"/>
    <mergeCell ref="C51:D51"/>
    <mergeCell ref="C52:D5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FF"/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 outlineLevelCol="1"/>
  <cols>
    <col customWidth="1" min="1" max="1" width="10.0"/>
    <col customWidth="1" min="2" max="2" width="28.88"/>
    <col customWidth="1" min="3" max="3" width="14.88"/>
    <col customWidth="1" min="4" max="4" width="4.25" outlineLevel="1"/>
    <col customWidth="1" min="5" max="7" width="3.75" outlineLevel="1"/>
    <col customWidth="1" min="8" max="8" width="4.25" outlineLevel="1"/>
    <col customWidth="1" min="9" max="9" width="4.38" outlineLevel="1"/>
    <col customWidth="1" min="10" max="11" width="3.75" outlineLevel="1"/>
    <col customWidth="1" min="12" max="12" width="5.0" outlineLevel="1"/>
    <col customWidth="1" min="13" max="24" width="3.75" outlineLevel="1"/>
    <col customWidth="1" hidden="1" min="25" max="34" width="3.75" outlineLevel="1"/>
    <col customWidth="1" min="35" max="35" width="15.75"/>
    <col customWidth="1" min="36" max="40" width="3.75" outlineLevel="1"/>
    <col customWidth="1" hidden="1" min="41" max="64" width="3.75" outlineLevel="1"/>
    <col customWidth="1" hidden="1" min="65" max="65" width="4.13" outlineLevel="1"/>
    <col customWidth="1" min="66" max="66" width="12.13"/>
    <col customWidth="1" min="67" max="67" width="5.13"/>
    <col customWidth="1" hidden="1" min="68" max="71" width="5.13"/>
    <col customWidth="1" min="72" max="72" width="10.88"/>
    <col customWidth="1" min="73" max="73" width="14.13"/>
    <col customWidth="1" min="74" max="74" width="13.0"/>
    <col customWidth="1" min="75" max="75" width="12.38"/>
    <col customWidth="1" min="76" max="76" width="10.13"/>
    <col customWidth="1" min="77" max="96" width="3.75"/>
  </cols>
  <sheetData>
    <row r="1" ht="21.0" customHeight="1">
      <c r="A1" s="21" t="str">
        <f>DATOS!D3</f>
        <v>EST 128</v>
      </c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5" t="s">
        <v>41</v>
      </c>
      <c r="BW1" s="26"/>
      <c r="BX1" s="27">
        <v>0.2</v>
      </c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</row>
    <row r="2" ht="21.0" customHeight="1">
      <c r="A2" s="28" t="s">
        <v>42</v>
      </c>
      <c r="B2" s="29" t="str">
        <f>DATOS!D4</f>
        <v>Omar Mata</v>
      </c>
      <c r="C2" s="30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4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31" t="s">
        <v>43</v>
      </c>
      <c r="BW2" s="3"/>
      <c r="BX2" s="32">
        <v>0.2</v>
      </c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</row>
    <row r="3" ht="21.0" customHeight="1">
      <c r="A3" s="33" t="s">
        <v>5</v>
      </c>
      <c r="B3" s="34">
        <f>DATOS!D5</f>
        <v>3</v>
      </c>
      <c r="C3" s="34" t="str">
        <f>DATOS!D6</f>
        <v>E</v>
      </c>
      <c r="D3" s="23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6" t="s">
        <v>44</v>
      </c>
      <c r="BP3" s="37"/>
      <c r="BQ3" s="37"/>
      <c r="BR3" s="37"/>
      <c r="BS3" s="37"/>
      <c r="BT3" s="30"/>
      <c r="BU3" s="35"/>
      <c r="BV3" s="38" t="s">
        <v>44</v>
      </c>
      <c r="BW3" s="3"/>
      <c r="BX3" s="39">
        <v>0.2</v>
      </c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</row>
    <row r="4" ht="21.0" customHeight="1">
      <c r="A4" s="40" t="s">
        <v>45</v>
      </c>
      <c r="B4" s="41" t="s">
        <v>46</v>
      </c>
      <c r="C4" s="3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42" t="s">
        <v>47</v>
      </c>
      <c r="BP4" s="43"/>
      <c r="BQ4" s="43"/>
      <c r="BR4" s="43"/>
      <c r="BS4" s="43"/>
      <c r="BT4" s="44"/>
      <c r="BU4" s="23"/>
      <c r="BV4" s="45" t="s">
        <v>48</v>
      </c>
      <c r="BW4" s="3"/>
      <c r="BX4" s="46">
        <v>0.1</v>
      </c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</row>
    <row r="5" ht="21.0" customHeight="1">
      <c r="A5" s="47"/>
      <c r="B5" s="48"/>
      <c r="C5" s="48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49"/>
      <c r="BP5" s="50"/>
      <c r="BQ5" s="50"/>
      <c r="BR5" s="50"/>
      <c r="BS5" s="50"/>
      <c r="BT5" s="51"/>
      <c r="BU5" s="23"/>
      <c r="BV5" s="52" t="s">
        <v>49</v>
      </c>
      <c r="BW5" s="3"/>
      <c r="BX5" s="53">
        <v>0.1</v>
      </c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</row>
    <row r="6" ht="21.0" customHeight="1">
      <c r="A6" s="47"/>
      <c r="B6" s="48"/>
      <c r="C6" s="48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49"/>
      <c r="BP6" s="50"/>
      <c r="BQ6" s="50"/>
      <c r="BR6" s="50"/>
      <c r="BS6" s="50"/>
      <c r="BT6" s="51"/>
      <c r="BU6" s="23"/>
      <c r="BV6" s="54" t="s">
        <v>50</v>
      </c>
      <c r="BW6" s="3"/>
      <c r="BX6" s="55">
        <v>0.2</v>
      </c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</row>
    <row r="7" ht="21.0" customHeight="1">
      <c r="A7" s="47"/>
      <c r="C7" s="4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49"/>
      <c r="BP7" s="50"/>
      <c r="BQ7" s="50"/>
      <c r="BR7" s="50"/>
      <c r="BS7" s="50"/>
      <c r="BT7" s="51"/>
      <c r="BU7" s="23"/>
      <c r="BV7" s="56" t="s">
        <v>51</v>
      </c>
      <c r="BW7" s="57"/>
      <c r="BX7" s="58">
        <f>SUM(BX1:BX6)</f>
        <v>1</v>
      </c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</row>
    <row r="8" ht="16.5" customHeight="1">
      <c r="A8" s="47"/>
      <c r="B8" s="59"/>
      <c r="C8" s="59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49"/>
      <c r="BP8" s="50"/>
      <c r="BQ8" s="50"/>
      <c r="BR8" s="50"/>
      <c r="BS8" s="50"/>
      <c r="BT8" s="51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</row>
    <row r="9" ht="19.5" customHeight="1">
      <c r="A9" s="24"/>
      <c r="B9" s="23"/>
      <c r="C9" s="23"/>
      <c r="D9" s="60" t="s">
        <v>41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0"/>
      <c r="AJ9" s="61" t="s">
        <v>43</v>
      </c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62"/>
      <c r="BP9" s="63"/>
      <c r="BQ9" s="63"/>
      <c r="BR9" s="63"/>
      <c r="BS9" s="63"/>
      <c r="BT9" s="64"/>
      <c r="BU9" s="65" t="s">
        <v>48</v>
      </c>
      <c r="BV9" s="66" t="s">
        <v>49</v>
      </c>
      <c r="BW9" s="67" t="s">
        <v>52</v>
      </c>
      <c r="BX9" s="68" t="s">
        <v>53</v>
      </c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</row>
    <row r="10" ht="42.0" customHeight="1">
      <c r="A10" s="69" t="s">
        <v>9</v>
      </c>
      <c r="B10" s="70" t="s">
        <v>54</v>
      </c>
      <c r="C10" s="71"/>
      <c r="D10" s="72">
        <v>1.0</v>
      </c>
      <c r="E10" s="73">
        <v>2.0</v>
      </c>
      <c r="F10" s="73">
        <v>3.0</v>
      </c>
      <c r="G10" s="73">
        <v>4.0</v>
      </c>
      <c r="H10" s="73">
        <v>5.0</v>
      </c>
      <c r="I10" s="73">
        <v>6.0</v>
      </c>
      <c r="J10" s="73">
        <v>7.0</v>
      </c>
      <c r="K10" s="73">
        <v>8.0</v>
      </c>
      <c r="L10" s="73">
        <v>9.0</v>
      </c>
      <c r="M10" s="73">
        <v>10.0</v>
      </c>
      <c r="N10" s="73">
        <v>11.0</v>
      </c>
      <c r="O10" s="73">
        <v>12.0</v>
      </c>
      <c r="P10" s="73">
        <v>13.0</v>
      </c>
      <c r="Q10" s="73">
        <v>14.0</v>
      </c>
      <c r="R10" s="73">
        <v>15.0</v>
      </c>
      <c r="S10" s="73">
        <v>16.0</v>
      </c>
      <c r="T10" s="73">
        <v>17.0</v>
      </c>
      <c r="U10" s="73">
        <v>18.0</v>
      </c>
      <c r="V10" s="73">
        <v>19.0</v>
      </c>
      <c r="W10" s="74">
        <v>20.0</v>
      </c>
      <c r="X10" s="74">
        <v>21.0</v>
      </c>
      <c r="Y10" s="73">
        <v>21.0</v>
      </c>
      <c r="Z10" s="73">
        <v>22.0</v>
      </c>
      <c r="AA10" s="73">
        <v>23.0</v>
      </c>
      <c r="AB10" s="73">
        <v>24.0</v>
      </c>
      <c r="AC10" s="73">
        <v>25.0</v>
      </c>
      <c r="AD10" s="73">
        <v>26.0</v>
      </c>
      <c r="AE10" s="73">
        <v>27.0</v>
      </c>
      <c r="AF10" s="73">
        <v>28.0</v>
      </c>
      <c r="AG10" s="73">
        <v>29.0</v>
      </c>
      <c r="AH10" s="75">
        <v>30.0</v>
      </c>
      <c r="AI10" s="76" t="s">
        <v>55</v>
      </c>
      <c r="AJ10" s="72">
        <v>1.0</v>
      </c>
      <c r="AK10" s="73">
        <v>2.0</v>
      </c>
      <c r="AL10" s="73">
        <v>3.0</v>
      </c>
      <c r="AM10" s="73">
        <v>4.0</v>
      </c>
      <c r="AN10" s="73">
        <v>5.0</v>
      </c>
      <c r="AO10" s="73">
        <v>6.0</v>
      </c>
      <c r="AP10" s="73">
        <v>7.0</v>
      </c>
      <c r="AQ10" s="73">
        <v>8.0</v>
      </c>
      <c r="AR10" s="73">
        <v>9.0</v>
      </c>
      <c r="AS10" s="73">
        <v>10.0</v>
      </c>
      <c r="AT10" s="73">
        <v>11.0</v>
      </c>
      <c r="AU10" s="73">
        <v>12.0</v>
      </c>
      <c r="AV10" s="73">
        <v>13.0</v>
      </c>
      <c r="AW10" s="73">
        <v>14.0</v>
      </c>
      <c r="AX10" s="73">
        <v>15.0</v>
      </c>
      <c r="AY10" s="73">
        <v>16.0</v>
      </c>
      <c r="AZ10" s="73">
        <v>17.0</v>
      </c>
      <c r="BA10" s="73">
        <v>18.0</v>
      </c>
      <c r="BB10" s="73">
        <v>19.0</v>
      </c>
      <c r="BC10" s="73">
        <v>20.0</v>
      </c>
      <c r="BD10" s="73">
        <v>21.0</v>
      </c>
      <c r="BE10" s="73">
        <v>22.0</v>
      </c>
      <c r="BF10" s="73">
        <v>23.0</v>
      </c>
      <c r="BG10" s="73">
        <v>24.0</v>
      </c>
      <c r="BH10" s="73">
        <v>25.0</v>
      </c>
      <c r="BI10" s="73">
        <v>26.0</v>
      </c>
      <c r="BJ10" s="73">
        <v>27.0</v>
      </c>
      <c r="BK10" s="73">
        <v>28.0</v>
      </c>
      <c r="BL10" s="73">
        <v>29.0</v>
      </c>
      <c r="BM10" s="75">
        <v>30.0</v>
      </c>
      <c r="BN10" s="77" t="s">
        <v>56</v>
      </c>
      <c r="BO10" s="78">
        <v>1.0</v>
      </c>
      <c r="BP10" s="79">
        <v>2.0</v>
      </c>
      <c r="BQ10" s="79">
        <v>3.0</v>
      </c>
      <c r="BR10" s="79">
        <v>4.0</v>
      </c>
      <c r="BS10" s="80">
        <v>5.0</v>
      </c>
      <c r="BT10" s="81" t="s">
        <v>57</v>
      </c>
      <c r="BU10" s="82"/>
      <c r="BV10" s="83"/>
      <c r="BW10" s="84"/>
      <c r="BX10" s="83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</row>
    <row r="11" ht="15.75" customHeight="1">
      <c r="A11" s="86">
        <v>1.0</v>
      </c>
      <c r="B11" s="87" t="str">
        <f>DATOS!C11</f>
        <v>ARMENDARIZ CUELLAR MIA ISABELLA</v>
      </c>
      <c r="C11" s="88"/>
      <c r="D11" s="89">
        <v>10.0</v>
      </c>
      <c r="E11" s="90">
        <v>10.0</v>
      </c>
      <c r="F11" s="90">
        <v>10.0</v>
      </c>
      <c r="G11" s="90">
        <v>10.0</v>
      </c>
      <c r="H11" s="90">
        <v>9.0</v>
      </c>
      <c r="I11" s="90">
        <v>9.0</v>
      </c>
      <c r="J11" s="90">
        <v>9.0</v>
      </c>
      <c r="K11" s="90">
        <v>10.0</v>
      </c>
      <c r="L11" s="90">
        <v>10.0</v>
      </c>
      <c r="M11" s="90">
        <v>9.0</v>
      </c>
      <c r="N11" s="90">
        <v>9.0</v>
      </c>
      <c r="O11" s="91">
        <v>9.0</v>
      </c>
      <c r="P11" s="91">
        <v>9.0</v>
      </c>
      <c r="Q11" s="91">
        <v>9.0</v>
      </c>
      <c r="R11" s="91">
        <v>9.0</v>
      </c>
      <c r="S11" s="91">
        <v>9.0</v>
      </c>
      <c r="T11" s="91">
        <v>10.0</v>
      </c>
      <c r="U11" s="91">
        <v>10.0</v>
      </c>
      <c r="V11" s="91">
        <v>10.0</v>
      </c>
      <c r="W11" s="91">
        <v>9.0</v>
      </c>
      <c r="X11" s="91">
        <v>10.0</v>
      </c>
      <c r="Y11" s="92"/>
      <c r="Z11" s="92"/>
      <c r="AA11" s="92"/>
      <c r="AB11" s="92"/>
      <c r="AC11" s="92"/>
      <c r="AD11" s="92"/>
      <c r="AE11" s="92"/>
      <c r="AF11" s="92"/>
      <c r="AG11" s="92"/>
      <c r="AH11" s="93"/>
      <c r="AI11" s="94">
        <f t="shared" ref="AI11:AI39" si="1">AVERAGE(D11:AH11)</f>
        <v>9.476190476</v>
      </c>
      <c r="AJ11" s="95">
        <v>9.0</v>
      </c>
      <c r="AK11" s="91">
        <v>9.0</v>
      </c>
      <c r="AL11" s="91">
        <v>9.0</v>
      </c>
      <c r="AM11" s="91">
        <v>9.0</v>
      </c>
      <c r="AN11" s="92">
        <v>9.0</v>
      </c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3"/>
      <c r="BN11" s="96">
        <f t="shared" ref="BN11:BN39" si="2">AVERAGE(AJ11:BM11)</f>
        <v>9</v>
      </c>
      <c r="BO11" s="97">
        <v>10.0</v>
      </c>
      <c r="BP11" s="98"/>
      <c r="BQ11" s="98"/>
      <c r="BR11" s="98"/>
      <c r="BS11" s="99"/>
      <c r="BT11" s="94">
        <f t="shared" ref="BT11:BT27" si="3">AVERAGE(BO11:BS11)</f>
        <v>10</v>
      </c>
      <c r="BU11" s="100">
        <v>9.0</v>
      </c>
      <c r="BV11" s="101">
        <v>9.0</v>
      </c>
      <c r="BW11" s="102">
        <v>7.5</v>
      </c>
      <c r="BX11" s="96">
        <f t="shared" ref="BX11:BX39" si="4">(AI11*$BX$1)+(BN11*$BX$2)+(BT11*$BX$3)+(BU11*$BX$4)+(BV11*$BX$5)+(BW11*$BX$6)</f>
        <v>8.995238095</v>
      </c>
      <c r="BY11" s="10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</row>
    <row r="12" ht="15.75" customHeight="1">
      <c r="A12" s="104">
        <v>2.0</v>
      </c>
      <c r="B12" s="105" t="str">
        <f>DATOS!C12</f>
        <v>BLANCO SALGADO LLUVIA CRISTAL</v>
      </c>
      <c r="C12" s="106"/>
      <c r="D12" s="107">
        <v>9.0</v>
      </c>
      <c r="E12" s="108">
        <v>9.0</v>
      </c>
      <c r="F12" s="108">
        <v>9.0</v>
      </c>
      <c r="G12" s="108">
        <v>9.0</v>
      </c>
      <c r="H12" s="108">
        <v>9.0</v>
      </c>
      <c r="I12" s="108">
        <v>9.0</v>
      </c>
      <c r="J12" s="108">
        <v>9.0</v>
      </c>
      <c r="K12" s="108">
        <v>9.0</v>
      </c>
      <c r="L12" s="108">
        <v>9.0</v>
      </c>
      <c r="M12" s="108">
        <v>9.0</v>
      </c>
      <c r="N12" s="108">
        <v>9.0</v>
      </c>
      <c r="O12" s="109">
        <v>9.0</v>
      </c>
      <c r="P12" s="109">
        <v>9.0</v>
      </c>
      <c r="Q12" s="109">
        <v>9.0</v>
      </c>
      <c r="R12" s="109">
        <v>9.0</v>
      </c>
      <c r="S12" s="109">
        <v>9.0</v>
      </c>
      <c r="T12" s="109">
        <v>9.0</v>
      </c>
      <c r="U12" s="109">
        <v>9.0</v>
      </c>
      <c r="V12" s="109">
        <v>9.0</v>
      </c>
      <c r="W12" s="109">
        <v>9.0</v>
      </c>
      <c r="X12" s="109">
        <v>9.0</v>
      </c>
      <c r="Y12" s="110"/>
      <c r="Z12" s="110"/>
      <c r="AA12" s="110"/>
      <c r="AB12" s="110"/>
      <c r="AC12" s="110"/>
      <c r="AD12" s="110"/>
      <c r="AE12" s="110"/>
      <c r="AF12" s="110"/>
      <c r="AG12" s="110"/>
      <c r="AH12" s="111"/>
      <c r="AI12" s="112">
        <f t="shared" si="1"/>
        <v>9</v>
      </c>
      <c r="AJ12" s="113">
        <v>7.0</v>
      </c>
      <c r="AK12" s="114">
        <v>6.0</v>
      </c>
      <c r="AL12" s="114">
        <v>7.0</v>
      </c>
      <c r="AM12" s="115">
        <v>8.0</v>
      </c>
      <c r="AN12" s="115">
        <v>8.0</v>
      </c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6"/>
      <c r="BN12" s="117">
        <f t="shared" si="2"/>
        <v>7.2</v>
      </c>
      <c r="BO12" s="118">
        <v>9.0</v>
      </c>
      <c r="BP12" s="119"/>
      <c r="BQ12" s="119"/>
      <c r="BR12" s="119"/>
      <c r="BS12" s="120"/>
      <c r="BT12" s="121">
        <f t="shared" si="3"/>
        <v>9</v>
      </c>
      <c r="BU12" s="122">
        <v>7.0</v>
      </c>
      <c r="BV12" s="123">
        <v>8.0</v>
      </c>
      <c r="BW12" s="124">
        <v>5.5</v>
      </c>
      <c r="BX12" s="125">
        <f t="shared" si="4"/>
        <v>7.64</v>
      </c>
      <c r="BY12" s="10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</row>
    <row r="13" ht="15.75" customHeight="1">
      <c r="A13" s="126">
        <v>3.0</v>
      </c>
      <c r="B13" s="127" t="str">
        <f>DATOS!C13</f>
        <v>CANTU AGUILAR ASHLEY DAYANA</v>
      </c>
      <c r="C13" s="106"/>
      <c r="D13" s="128">
        <v>7.0</v>
      </c>
      <c r="E13" s="129">
        <v>7.0</v>
      </c>
      <c r="F13" s="129">
        <v>7.0</v>
      </c>
      <c r="G13" s="129">
        <v>7.0</v>
      </c>
      <c r="H13" s="129">
        <v>7.0</v>
      </c>
      <c r="I13" s="129">
        <v>7.0</v>
      </c>
      <c r="J13" s="129">
        <v>7.0</v>
      </c>
      <c r="K13" s="129">
        <v>7.0</v>
      </c>
      <c r="L13" s="129">
        <v>7.0</v>
      </c>
      <c r="M13" s="129">
        <v>7.0</v>
      </c>
      <c r="N13" s="129">
        <v>7.0</v>
      </c>
      <c r="O13" s="130">
        <v>7.0</v>
      </c>
      <c r="P13" s="130">
        <v>7.0</v>
      </c>
      <c r="Q13" s="130">
        <v>7.0</v>
      </c>
      <c r="R13" s="130">
        <v>7.0</v>
      </c>
      <c r="S13" s="130">
        <v>7.0</v>
      </c>
      <c r="T13" s="130">
        <v>7.0</v>
      </c>
      <c r="U13" s="130">
        <v>7.0</v>
      </c>
      <c r="V13" s="130">
        <v>7.0</v>
      </c>
      <c r="W13" s="130">
        <v>7.0</v>
      </c>
      <c r="X13" s="130">
        <v>7.0</v>
      </c>
      <c r="Y13" s="131"/>
      <c r="Z13" s="131"/>
      <c r="AA13" s="131"/>
      <c r="AB13" s="131"/>
      <c r="AC13" s="131"/>
      <c r="AD13" s="131"/>
      <c r="AE13" s="131"/>
      <c r="AF13" s="131"/>
      <c r="AG13" s="131"/>
      <c r="AH13" s="132"/>
      <c r="AI13" s="133">
        <f t="shared" si="1"/>
        <v>7</v>
      </c>
      <c r="AJ13" s="134">
        <v>7.0</v>
      </c>
      <c r="AK13" s="135">
        <v>6.0</v>
      </c>
      <c r="AL13" s="135">
        <v>7.0</v>
      </c>
      <c r="AM13" s="135">
        <v>7.0</v>
      </c>
      <c r="AN13" s="135">
        <v>7.0</v>
      </c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6"/>
      <c r="BM13" s="137"/>
      <c r="BN13" s="138">
        <f t="shared" si="2"/>
        <v>6.8</v>
      </c>
      <c r="BO13" s="139">
        <v>9.0</v>
      </c>
      <c r="BP13" s="140"/>
      <c r="BQ13" s="140"/>
      <c r="BR13" s="140"/>
      <c r="BS13" s="141"/>
      <c r="BT13" s="142">
        <f t="shared" si="3"/>
        <v>9</v>
      </c>
      <c r="BU13" s="143">
        <v>6.0</v>
      </c>
      <c r="BV13" s="144">
        <v>7.0</v>
      </c>
      <c r="BW13" s="145">
        <v>6.5</v>
      </c>
      <c r="BX13" s="146">
        <f t="shared" si="4"/>
        <v>7.16</v>
      </c>
      <c r="BY13" s="10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</row>
    <row r="14" ht="15.75" customHeight="1">
      <c r="A14" s="104">
        <v>4.0</v>
      </c>
      <c r="B14" s="105" t="str">
        <f>DATOS!C14</f>
        <v>CRUZ HERNÁNDEZ ALAN ABDIEL</v>
      </c>
      <c r="C14" s="106"/>
      <c r="D14" s="107">
        <v>10.0</v>
      </c>
      <c r="E14" s="108">
        <v>9.0</v>
      </c>
      <c r="F14" s="108">
        <v>9.0</v>
      </c>
      <c r="G14" s="108">
        <v>9.0</v>
      </c>
      <c r="H14" s="108">
        <v>10.0</v>
      </c>
      <c r="I14" s="108">
        <v>9.0</v>
      </c>
      <c r="J14" s="108">
        <v>9.0</v>
      </c>
      <c r="K14" s="108">
        <v>9.0</v>
      </c>
      <c r="L14" s="108">
        <v>9.0</v>
      </c>
      <c r="M14" s="108">
        <v>9.0</v>
      </c>
      <c r="N14" s="108">
        <v>7.0</v>
      </c>
      <c r="O14" s="109">
        <v>9.0</v>
      </c>
      <c r="P14" s="109">
        <v>9.0</v>
      </c>
      <c r="Q14" s="109">
        <v>8.0</v>
      </c>
      <c r="R14" s="109">
        <v>8.0</v>
      </c>
      <c r="S14" s="109">
        <v>9.0</v>
      </c>
      <c r="T14" s="109">
        <v>9.0</v>
      </c>
      <c r="U14" s="109">
        <v>10.0</v>
      </c>
      <c r="V14" s="109">
        <v>9.0</v>
      </c>
      <c r="W14" s="109">
        <v>9.0</v>
      </c>
      <c r="X14" s="109">
        <v>9.0</v>
      </c>
      <c r="Y14" s="110"/>
      <c r="Z14" s="110"/>
      <c r="AA14" s="110"/>
      <c r="AB14" s="110"/>
      <c r="AC14" s="110"/>
      <c r="AD14" s="110"/>
      <c r="AE14" s="110"/>
      <c r="AF14" s="110"/>
      <c r="AG14" s="110"/>
      <c r="AH14" s="111"/>
      <c r="AI14" s="112">
        <f t="shared" si="1"/>
        <v>8.952380952</v>
      </c>
      <c r="AJ14" s="113">
        <v>8.0</v>
      </c>
      <c r="AK14" s="114">
        <v>8.0</v>
      </c>
      <c r="AL14" s="115">
        <v>7.0</v>
      </c>
      <c r="AM14" s="115">
        <v>7.0</v>
      </c>
      <c r="AN14" s="114">
        <v>8.0</v>
      </c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5"/>
      <c r="BM14" s="116"/>
      <c r="BN14" s="117">
        <f t="shared" si="2"/>
        <v>7.6</v>
      </c>
      <c r="BO14" s="118">
        <v>10.0</v>
      </c>
      <c r="BP14" s="119"/>
      <c r="BQ14" s="119"/>
      <c r="BR14" s="119"/>
      <c r="BS14" s="120"/>
      <c r="BT14" s="121">
        <f t="shared" si="3"/>
        <v>10</v>
      </c>
      <c r="BU14" s="122">
        <v>7.0</v>
      </c>
      <c r="BV14" s="123">
        <v>8.0</v>
      </c>
      <c r="BW14" s="124">
        <v>4.5</v>
      </c>
      <c r="BX14" s="125">
        <f t="shared" si="4"/>
        <v>7.71047619</v>
      </c>
      <c r="BY14" s="10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</row>
    <row r="15" ht="15.75" customHeight="1">
      <c r="A15" s="126">
        <v>5.0</v>
      </c>
      <c r="B15" s="127" t="str">
        <f>DATOS!C15</f>
        <v>DE LEON SALINAS VANESA MONSERRAT</v>
      </c>
      <c r="C15" s="106"/>
      <c r="D15" s="128">
        <v>10.0</v>
      </c>
      <c r="E15" s="129">
        <v>10.0</v>
      </c>
      <c r="F15" s="129">
        <v>10.0</v>
      </c>
      <c r="G15" s="129">
        <v>10.0</v>
      </c>
      <c r="H15" s="129">
        <v>10.0</v>
      </c>
      <c r="I15" s="129">
        <v>8.0</v>
      </c>
      <c r="J15" s="129">
        <v>8.0</v>
      </c>
      <c r="K15" s="129">
        <v>9.0</v>
      </c>
      <c r="L15" s="129">
        <v>9.0</v>
      </c>
      <c r="M15" s="129">
        <v>9.0</v>
      </c>
      <c r="N15" s="129">
        <v>8.0</v>
      </c>
      <c r="O15" s="130">
        <v>9.0</v>
      </c>
      <c r="P15" s="130">
        <v>9.0</v>
      </c>
      <c r="Q15" s="130">
        <v>9.0</v>
      </c>
      <c r="R15" s="130">
        <v>9.0</v>
      </c>
      <c r="S15" s="130">
        <v>9.0</v>
      </c>
      <c r="T15" s="130">
        <v>10.0</v>
      </c>
      <c r="U15" s="130">
        <v>10.0</v>
      </c>
      <c r="V15" s="130">
        <v>9.0</v>
      </c>
      <c r="W15" s="130">
        <v>8.0</v>
      </c>
      <c r="X15" s="130">
        <v>8.0</v>
      </c>
      <c r="Y15" s="131"/>
      <c r="Z15" s="131"/>
      <c r="AA15" s="131"/>
      <c r="AB15" s="131"/>
      <c r="AC15" s="131"/>
      <c r="AD15" s="131"/>
      <c r="AE15" s="131"/>
      <c r="AF15" s="131"/>
      <c r="AG15" s="131"/>
      <c r="AH15" s="132"/>
      <c r="AI15" s="133">
        <f t="shared" si="1"/>
        <v>9.095238095</v>
      </c>
      <c r="AJ15" s="147">
        <v>10.0</v>
      </c>
      <c r="AK15" s="136">
        <v>10.0</v>
      </c>
      <c r="AL15" s="136">
        <v>10.0</v>
      </c>
      <c r="AM15" s="136">
        <v>10.0</v>
      </c>
      <c r="AN15" s="135">
        <v>10.0</v>
      </c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7"/>
      <c r="BN15" s="138">
        <f t="shared" si="2"/>
        <v>10</v>
      </c>
      <c r="BO15" s="139">
        <v>9.0</v>
      </c>
      <c r="BP15" s="140"/>
      <c r="BQ15" s="140"/>
      <c r="BR15" s="140"/>
      <c r="BS15" s="141"/>
      <c r="BT15" s="142">
        <f t="shared" si="3"/>
        <v>9</v>
      </c>
      <c r="BU15" s="143">
        <v>7.0</v>
      </c>
      <c r="BV15" s="148">
        <v>9.0</v>
      </c>
      <c r="BW15" s="145">
        <v>4.5</v>
      </c>
      <c r="BX15" s="146">
        <f t="shared" si="4"/>
        <v>8.119047619</v>
      </c>
      <c r="BY15" s="10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</row>
    <row r="16" ht="15.75" customHeight="1">
      <c r="A16" s="104">
        <v>6.0</v>
      </c>
      <c r="B16" s="105" t="str">
        <f>DATOS!C16</f>
        <v>DORIA GUERRA DAILY ALESSANDRA</v>
      </c>
      <c r="C16" s="106"/>
      <c r="D16" s="107">
        <v>10.0</v>
      </c>
      <c r="E16" s="108">
        <v>10.0</v>
      </c>
      <c r="F16" s="108">
        <v>10.0</v>
      </c>
      <c r="G16" s="108">
        <v>10.0</v>
      </c>
      <c r="H16" s="108">
        <v>10.0</v>
      </c>
      <c r="I16" s="108">
        <v>10.0</v>
      </c>
      <c r="J16" s="108">
        <v>9.0</v>
      </c>
      <c r="K16" s="108">
        <v>9.0</v>
      </c>
      <c r="L16" s="108">
        <v>9.0</v>
      </c>
      <c r="M16" s="108">
        <v>9.0</v>
      </c>
      <c r="N16" s="108">
        <v>9.0</v>
      </c>
      <c r="O16" s="109">
        <v>9.0</v>
      </c>
      <c r="P16" s="109">
        <v>9.0</v>
      </c>
      <c r="Q16" s="109">
        <v>9.0</v>
      </c>
      <c r="R16" s="109">
        <v>9.0</v>
      </c>
      <c r="S16" s="109">
        <v>10.0</v>
      </c>
      <c r="T16" s="109">
        <v>10.0</v>
      </c>
      <c r="U16" s="109">
        <v>10.0</v>
      </c>
      <c r="V16" s="109">
        <v>10.0</v>
      </c>
      <c r="W16" s="109">
        <v>10.0</v>
      </c>
      <c r="X16" s="109">
        <v>9.0</v>
      </c>
      <c r="Y16" s="110"/>
      <c r="Z16" s="110"/>
      <c r="AA16" s="110"/>
      <c r="AB16" s="110"/>
      <c r="AC16" s="110"/>
      <c r="AD16" s="110"/>
      <c r="AE16" s="110"/>
      <c r="AF16" s="110"/>
      <c r="AG16" s="110"/>
      <c r="AH16" s="111"/>
      <c r="AI16" s="112">
        <f t="shared" si="1"/>
        <v>9.523809524</v>
      </c>
      <c r="AJ16" s="149">
        <v>10.0</v>
      </c>
      <c r="AK16" s="115">
        <v>10.0</v>
      </c>
      <c r="AL16" s="114">
        <v>10.0</v>
      </c>
      <c r="AM16" s="114">
        <v>10.0</v>
      </c>
      <c r="AN16" s="114">
        <v>9.0</v>
      </c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5"/>
      <c r="BM16" s="116"/>
      <c r="BN16" s="117">
        <f t="shared" si="2"/>
        <v>9.8</v>
      </c>
      <c r="BO16" s="118">
        <v>10.0</v>
      </c>
      <c r="BP16" s="119"/>
      <c r="BQ16" s="119"/>
      <c r="BR16" s="119"/>
      <c r="BS16" s="120"/>
      <c r="BT16" s="121">
        <f t="shared" si="3"/>
        <v>10</v>
      </c>
      <c r="BU16" s="150">
        <v>10.0</v>
      </c>
      <c r="BV16" s="123">
        <v>9.0</v>
      </c>
      <c r="BW16" s="124">
        <v>7.0</v>
      </c>
      <c r="BX16" s="125">
        <f t="shared" si="4"/>
        <v>9.164761905</v>
      </c>
      <c r="BY16" s="151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</row>
    <row r="17" ht="15.75" customHeight="1">
      <c r="A17" s="126">
        <v>7.0</v>
      </c>
      <c r="B17" s="127" t="str">
        <f>DATOS!C17</f>
        <v>ELIZONDO ROMERO MONTSERRAT GUADALUPE</v>
      </c>
      <c r="C17" s="106"/>
      <c r="D17" s="128">
        <v>10.0</v>
      </c>
      <c r="E17" s="129">
        <v>10.0</v>
      </c>
      <c r="F17" s="129">
        <v>10.0</v>
      </c>
      <c r="G17" s="129">
        <v>10.0</v>
      </c>
      <c r="H17" s="129">
        <v>10.0</v>
      </c>
      <c r="I17" s="129">
        <v>10.0</v>
      </c>
      <c r="J17" s="129">
        <v>9.0</v>
      </c>
      <c r="K17" s="129">
        <v>9.0</v>
      </c>
      <c r="L17" s="129">
        <v>9.0</v>
      </c>
      <c r="M17" s="129">
        <v>9.0</v>
      </c>
      <c r="N17" s="129">
        <v>9.5</v>
      </c>
      <c r="O17" s="130">
        <v>9.0</v>
      </c>
      <c r="P17" s="130">
        <v>9.0</v>
      </c>
      <c r="Q17" s="130">
        <v>9.0</v>
      </c>
      <c r="R17" s="130">
        <v>9.0</v>
      </c>
      <c r="S17" s="130">
        <v>9.0</v>
      </c>
      <c r="T17" s="130">
        <v>9.0</v>
      </c>
      <c r="U17" s="130">
        <v>9.0</v>
      </c>
      <c r="V17" s="130">
        <v>10.0</v>
      </c>
      <c r="W17" s="130">
        <v>10.0</v>
      </c>
      <c r="X17" s="130">
        <v>10.0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32"/>
      <c r="AI17" s="133">
        <f t="shared" si="1"/>
        <v>9.452380952</v>
      </c>
      <c r="AJ17" s="147">
        <v>9.0</v>
      </c>
      <c r="AK17" s="136">
        <v>9.0</v>
      </c>
      <c r="AL17" s="135">
        <v>9.0</v>
      </c>
      <c r="AM17" s="135">
        <v>9.0</v>
      </c>
      <c r="AN17" s="135">
        <v>9.0</v>
      </c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7"/>
      <c r="BN17" s="138">
        <f t="shared" si="2"/>
        <v>9</v>
      </c>
      <c r="BO17" s="139">
        <v>10.0</v>
      </c>
      <c r="BP17" s="140"/>
      <c r="BQ17" s="140"/>
      <c r="BR17" s="140"/>
      <c r="BS17" s="141"/>
      <c r="BT17" s="142">
        <f t="shared" si="3"/>
        <v>10</v>
      </c>
      <c r="BU17" s="152">
        <v>9.0</v>
      </c>
      <c r="BV17" s="148">
        <v>9.0</v>
      </c>
      <c r="BW17" s="145">
        <v>6.5</v>
      </c>
      <c r="BX17" s="146">
        <f t="shared" si="4"/>
        <v>8.79047619</v>
      </c>
      <c r="BY17" s="151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</row>
    <row r="18" ht="15.75" customHeight="1">
      <c r="A18" s="104">
        <v>8.0</v>
      </c>
      <c r="B18" s="105" t="str">
        <f>DATOS!C18</f>
        <v>GARCIA PINEDA IKER ALEJANDRO</v>
      </c>
      <c r="C18" s="106"/>
      <c r="D18" s="107">
        <v>10.0</v>
      </c>
      <c r="E18" s="108">
        <v>10.0</v>
      </c>
      <c r="F18" s="108">
        <v>10.0</v>
      </c>
      <c r="G18" s="108">
        <v>8.0</v>
      </c>
      <c r="H18" s="108">
        <v>8.0</v>
      </c>
      <c r="I18" s="108">
        <v>8.0</v>
      </c>
      <c r="J18" s="108">
        <v>8.0</v>
      </c>
      <c r="K18" s="108">
        <v>10.0</v>
      </c>
      <c r="L18" s="108">
        <v>8.0</v>
      </c>
      <c r="M18" s="108">
        <v>9.0</v>
      </c>
      <c r="N18" s="108">
        <v>9.0</v>
      </c>
      <c r="O18" s="109">
        <v>8.0</v>
      </c>
      <c r="P18" s="109">
        <v>8.0</v>
      </c>
      <c r="Q18" s="109">
        <v>8.0</v>
      </c>
      <c r="R18" s="109">
        <v>10.0</v>
      </c>
      <c r="S18" s="109">
        <v>9.0</v>
      </c>
      <c r="T18" s="109">
        <v>9.0</v>
      </c>
      <c r="U18" s="109">
        <v>9.0</v>
      </c>
      <c r="V18" s="109">
        <v>9.0</v>
      </c>
      <c r="W18" s="109">
        <v>9.0</v>
      </c>
      <c r="X18" s="109">
        <v>9.0</v>
      </c>
      <c r="Y18" s="110"/>
      <c r="Z18" s="110"/>
      <c r="AA18" s="110"/>
      <c r="AB18" s="110"/>
      <c r="AC18" s="110"/>
      <c r="AD18" s="110"/>
      <c r="AE18" s="110"/>
      <c r="AF18" s="110"/>
      <c r="AG18" s="110"/>
      <c r="AH18" s="111"/>
      <c r="AI18" s="112">
        <f t="shared" si="1"/>
        <v>8.857142857</v>
      </c>
      <c r="AJ18" s="149">
        <v>10.0</v>
      </c>
      <c r="AK18" s="114">
        <v>9.0</v>
      </c>
      <c r="AL18" s="114">
        <v>9.0</v>
      </c>
      <c r="AM18" s="114">
        <v>8.0</v>
      </c>
      <c r="AN18" s="114">
        <v>8.0</v>
      </c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5"/>
      <c r="BM18" s="116"/>
      <c r="BN18" s="117">
        <f t="shared" si="2"/>
        <v>8.8</v>
      </c>
      <c r="BO18" s="118">
        <v>9.0</v>
      </c>
      <c r="BP18" s="119"/>
      <c r="BQ18" s="119"/>
      <c r="BR18" s="119"/>
      <c r="BS18" s="120"/>
      <c r="BT18" s="121">
        <f t="shared" si="3"/>
        <v>9</v>
      </c>
      <c r="BU18" s="150">
        <v>8.0</v>
      </c>
      <c r="BV18" s="123">
        <v>9.0</v>
      </c>
      <c r="BW18" s="124">
        <v>5.5</v>
      </c>
      <c r="BX18" s="125">
        <f t="shared" si="4"/>
        <v>8.131428571</v>
      </c>
      <c r="BY18" s="10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</row>
    <row r="19" ht="15.75" customHeight="1">
      <c r="A19" s="126">
        <v>9.0</v>
      </c>
      <c r="B19" s="127" t="str">
        <f>DATOS!C19</f>
        <v>GONZÁLEZ HERNÁNDEZ LUIS Á_x0081_NGEL</v>
      </c>
      <c r="C19" s="106"/>
      <c r="D19" s="128">
        <v>9.0</v>
      </c>
      <c r="E19" s="129">
        <v>9.0</v>
      </c>
      <c r="F19" s="129">
        <v>9.0</v>
      </c>
      <c r="G19" s="129">
        <v>9.0</v>
      </c>
      <c r="H19" s="129">
        <v>9.0</v>
      </c>
      <c r="I19" s="129">
        <v>9.0</v>
      </c>
      <c r="J19" s="129">
        <v>9.0</v>
      </c>
      <c r="K19" s="129">
        <v>9.0</v>
      </c>
      <c r="L19" s="129">
        <v>9.0</v>
      </c>
      <c r="M19" s="129">
        <v>9.0</v>
      </c>
      <c r="N19" s="129">
        <v>9.0</v>
      </c>
      <c r="O19" s="130">
        <v>9.0</v>
      </c>
      <c r="P19" s="130">
        <v>9.0</v>
      </c>
      <c r="Q19" s="130">
        <v>9.0</v>
      </c>
      <c r="R19" s="130">
        <v>9.0</v>
      </c>
      <c r="S19" s="130">
        <v>9.0</v>
      </c>
      <c r="T19" s="130">
        <v>9.0</v>
      </c>
      <c r="U19" s="130">
        <v>9.0</v>
      </c>
      <c r="V19" s="130">
        <v>9.0</v>
      </c>
      <c r="W19" s="130">
        <v>9.0</v>
      </c>
      <c r="X19" s="130">
        <v>9.0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32"/>
      <c r="AI19" s="133">
        <f t="shared" si="1"/>
        <v>9</v>
      </c>
      <c r="AJ19" s="134">
        <v>8.0</v>
      </c>
      <c r="AK19" s="135">
        <v>8.0</v>
      </c>
      <c r="AL19" s="135">
        <v>8.0</v>
      </c>
      <c r="AM19" s="135">
        <v>8.0</v>
      </c>
      <c r="AN19" s="135">
        <v>9.0</v>
      </c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7"/>
      <c r="BN19" s="138">
        <f t="shared" si="2"/>
        <v>8.2</v>
      </c>
      <c r="BO19" s="139">
        <v>10.0</v>
      </c>
      <c r="BP19" s="140"/>
      <c r="BQ19" s="140"/>
      <c r="BR19" s="140"/>
      <c r="BS19" s="141"/>
      <c r="BT19" s="142">
        <f t="shared" si="3"/>
        <v>10</v>
      </c>
      <c r="BU19" s="152">
        <v>7.0</v>
      </c>
      <c r="BV19" s="144">
        <v>7.0</v>
      </c>
      <c r="BW19" s="145">
        <v>4.0</v>
      </c>
      <c r="BX19" s="146">
        <f t="shared" si="4"/>
        <v>7.64</v>
      </c>
      <c r="BY19" s="10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</row>
    <row r="20" ht="15.75" customHeight="1">
      <c r="A20" s="104">
        <v>10.0</v>
      </c>
      <c r="B20" s="105" t="str">
        <f>DATOS!C20</f>
        <v>GRIMALDO PUENTE  SAMANTHA SARAHI</v>
      </c>
      <c r="C20" s="106"/>
      <c r="D20" s="107">
        <v>10.0</v>
      </c>
      <c r="E20" s="108">
        <v>10.0</v>
      </c>
      <c r="F20" s="108">
        <v>10.0</v>
      </c>
      <c r="G20" s="108">
        <v>9.0</v>
      </c>
      <c r="H20" s="108">
        <v>10.0</v>
      </c>
      <c r="I20" s="108">
        <v>10.0</v>
      </c>
      <c r="J20" s="108">
        <v>9.0</v>
      </c>
      <c r="K20" s="108">
        <v>9.0</v>
      </c>
      <c r="L20" s="108">
        <v>9.0</v>
      </c>
      <c r="M20" s="108">
        <v>10.0</v>
      </c>
      <c r="N20" s="108">
        <v>10.0</v>
      </c>
      <c r="O20" s="109">
        <v>9.0</v>
      </c>
      <c r="P20" s="109">
        <v>9.0</v>
      </c>
      <c r="Q20" s="109">
        <v>9.0</v>
      </c>
      <c r="R20" s="109">
        <v>9.0</v>
      </c>
      <c r="S20" s="109">
        <v>9.0</v>
      </c>
      <c r="T20" s="109">
        <v>9.0</v>
      </c>
      <c r="U20" s="109">
        <v>10.0</v>
      </c>
      <c r="V20" s="109">
        <v>10.0</v>
      </c>
      <c r="W20" s="109">
        <v>10.0</v>
      </c>
      <c r="X20" s="109">
        <v>9.0</v>
      </c>
      <c r="Y20" s="110"/>
      <c r="Z20" s="110"/>
      <c r="AA20" s="110"/>
      <c r="AB20" s="110"/>
      <c r="AC20" s="110"/>
      <c r="AD20" s="110"/>
      <c r="AE20" s="110"/>
      <c r="AF20" s="110"/>
      <c r="AG20" s="110"/>
      <c r="AH20" s="111"/>
      <c r="AI20" s="112">
        <f t="shared" si="1"/>
        <v>9.476190476</v>
      </c>
      <c r="AJ20" s="113">
        <v>9.0</v>
      </c>
      <c r="AK20" s="114">
        <v>9.0</v>
      </c>
      <c r="AL20" s="114">
        <v>9.0</v>
      </c>
      <c r="AM20" s="114">
        <v>9.0</v>
      </c>
      <c r="AN20" s="114">
        <v>9.0</v>
      </c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5"/>
      <c r="BM20" s="116"/>
      <c r="BN20" s="117">
        <f t="shared" si="2"/>
        <v>9</v>
      </c>
      <c r="BO20" s="118">
        <v>10.0</v>
      </c>
      <c r="BP20" s="119"/>
      <c r="BQ20" s="119"/>
      <c r="BR20" s="119"/>
      <c r="BS20" s="120"/>
      <c r="BT20" s="121">
        <f t="shared" si="3"/>
        <v>10</v>
      </c>
      <c r="BU20" s="150">
        <v>9.0</v>
      </c>
      <c r="BV20" s="123">
        <v>9.0</v>
      </c>
      <c r="BW20" s="124">
        <v>7.5</v>
      </c>
      <c r="BX20" s="125">
        <f t="shared" si="4"/>
        <v>8.995238095</v>
      </c>
      <c r="BY20" s="10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</row>
    <row r="21" ht="15.75" customHeight="1">
      <c r="A21" s="126">
        <v>11.0</v>
      </c>
      <c r="B21" s="127" t="str">
        <f>DATOS!C21</f>
        <v>GUERRERO RODRIGUEZ KEYSHA CECILIA</v>
      </c>
      <c r="C21" s="106"/>
      <c r="D21" s="128">
        <v>5.0</v>
      </c>
      <c r="E21" s="129">
        <v>5.0</v>
      </c>
      <c r="F21" s="129">
        <v>5.0</v>
      </c>
      <c r="G21" s="129">
        <v>5.0</v>
      </c>
      <c r="H21" s="129">
        <v>5.0</v>
      </c>
      <c r="I21" s="129">
        <v>5.0</v>
      </c>
      <c r="J21" s="129">
        <v>5.0</v>
      </c>
      <c r="K21" s="129">
        <v>5.0</v>
      </c>
      <c r="L21" s="129">
        <v>5.0</v>
      </c>
      <c r="M21" s="129">
        <v>5.0</v>
      </c>
      <c r="N21" s="129">
        <v>5.0</v>
      </c>
      <c r="O21" s="130">
        <v>5.0</v>
      </c>
      <c r="P21" s="130">
        <v>5.0</v>
      </c>
      <c r="Q21" s="130">
        <v>5.0</v>
      </c>
      <c r="R21" s="130">
        <v>5.0</v>
      </c>
      <c r="S21" s="130">
        <v>5.0</v>
      </c>
      <c r="T21" s="130">
        <v>6.0</v>
      </c>
      <c r="U21" s="130">
        <v>6.0</v>
      </c>
      <c r="V21" s="130">
        <v>6.0</v>
      </c>
      <c r="W21" s="130">
        <v>6.0</v>
      </c>
      <c r="X21" s="130">
        <v>6.0</v>
      </c>
      <c r="Y21" s="131"/>
      <c r="Z21" s="131"/>
      <c r="AA21" s="131"/>
      <c r="AB21" s="131"/>
      <c r="AC21" s="131"/>
      <c r="AD21" s="131"/>
      <c r="AE21" s="131"/>
      <c r="AF21" s="131"/>
      <c r="AG21" s="131"/>
      <c r="AH21" s="132"/>
      <c r="AI21" s="133">
        <f t="shared" si="1"/>
        <v>5.238095238</v>
      </c>
      <c r="AJ21" s="134">
        <v>6.0</v>
      </c>
      <c r="AK21" s="135">
        <v>6.0</v>
      </c>
      <c r="AL21" s="135">
        <v>6.0</v>
      </c>
      <c r="AM21" s="135">
        <v>6.0</v>
      </c>
      <c r="AN21" s="135">
        <v>6.0</v>
      </c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7"/>
      <c r="BN21" s="138">
        <f t="shared" si="2"/>
        <v>6</v>
      </c>
      <c r="BO21" s="139">
        <v>7.0</v>
      </c>
      <c r="BP21" s="140"/>
      <c r="BQ21" s="140"/>
      <c r="BR21" s="140"/>
      <c r="BS21" s="141"/>
      <c r="BT21" s="142">
        <f t="shared" si="3"/>
        <v>7</v>
      </c>
      <c r="BU21" s="152">
        <v>6.0</v>
      </c>
      <c r="BV21" s="148">
        <v>7.0</v>
      </c>
      <c r="BW21" s="145">
        <v>3.5</v>
      </c>
      <c r="BX21" s="146">
        <f t="shared" si="4"/>
        <v>5.647619048</v>
      </c>
      <c r="BY21" s="151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</row>
    <row r="22" ht="15.75" customHeight="1">
      <c r="A22" s="104">
        <v>12.0</v>
      </c>
      <c r="B22" s="105" t="str">
        <f>DATOS!C22</f>
        <v>HERNANDEZ CRUZ VIRIDIANA MARIE</v>
      </c>
      <c r="C22" s="106"/>
      <c r="D22" s="107">
        <v>10.0</v>
      </c>
      <c r="E22" s="108">
        <v>10.0</v>
      </c>
      <c r="F22" s="108">
        <v>10.0</v>
      </c>
      <c r="G22" s="108">
        <v>10.0</v>
      </c>
      <c r="H22" s="108">
        <v>10.0</v>
      </c>
      <c r="I22" s="108">
        <v>10.0</v>
      </c>
      <c r="J22" s="108">
        <v>10.0</v>
      </c>
      <c r="K22" s="108">
        <v>10.0</v>
      </c>
      <c r="L22" s="108">
        <v>10.0</v>
      </c>
      <c r="M22" s="108">
        <v>10.0</v>
      </c>
      <c r="N22" s="108">
        <v>10.0</v>
      </c>
      <c r="O22" s="109">
        <v>10.0</v>
      </c>
      <c r="P22" s="109">
        <v>10.0</v>
      </c>
      <c r="Q22" s="109">
        <v>10.0</v>
      </c>
      <c r="R22" s="109">
        <v>10.0</v>
      </c>
      <c r="S22" s="109">
        <v>10.0</v>
      </c>
      <c r="T22" s="109">
        <v>10.0</v>
      </c>
      <c r="U22" s="109">
        <v>10.0</v>
      </c>
      <c r="V22" s="109">
        <v>10.0</v>
      </c>
      <c r="W22" s="109">
        <v>10.0</v>
      </c>
      <c r="X22" s="109">
        <v>10.0</v>
      </c>
      <c r="Y22" s="110"/>
      <c r="Z22" s="110"/>
      <c r="AA22" s="110"/>
      <c r="AB22" s="110"/>
      <c r="AC22" s="110"/>
      <c r="AD22" s="110"/>
      <c r="AE22" s="110"/>
      <c r="AF22" s="110"/>
      <c r="AG22" s="110"/>
      <c r="AH22" s="111"/>
      <c r="AI22" s="112">
        <f t="shared" si="1"/>
        <v>10</v>
      </c>
      <c r="AJ22" s="149">
        <v>10.0</v>
      </c>
      <c r="AK22" s="114">
        <v>9.0</v>
      </c>
      <c r="AL22" s="114">
        <v>9.0</v>
      </c>
      <c r="AM22" s="114">
        <v>9.0</v>
      </c>
      <c r="AN22" s="114">
        <v>9.0</v>
      </c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6"/>
      <c r="BN22" s="117">
        <f t="shared" si="2"/>
        <v>9.2</v>
      </c>
      <c r="BO22" s="118">
        <v>10.0</v>
      </c>
      <c r="BP22" s="119"/>
      <c r="BQ22" s="119"/>
      <c r="BR22" s="119"/>
      <c r="BS22" s="120"/>
      <c r="BT22" s="121">
        <f t="shared" si="3"/>
        <v>10</v>
      </c>
      <c r="BU22" s="150">
        <v>7.0</v>
      </c>
      <c r="BV22" s="123">
        <v>9.0</v>
      </c>
      <c r="BW22" s="124">
        <v>4.5</v>
      </c>
      <c r="BX22" s="125">
        <f t="shared" si="4"/>
        <v>8.34</v>
      </c>
      <c r="BY22" s="10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</row>
    <row r="23" ht="15.75" customHeight="1">
      <c r="A23" s="126">
        <v>13.0</v>
      </c>
      <c r="B23" s="127" t="str">
        <f>DATOS!C23</f>
        <v>HERNANDEZ RAMIREZ WALTER JONAS</v>
      </c>
      <c r="C23" s="106"/>
      <c r="D23" s="128">
        <v>5.0</v>
      </c>
      <c r="E23" s="129">
        <v>5.0</v>
      </c>
      <c r="F23" s="129">
        <v>5.0</v>
      </c>
      <c r="G23" s="129">
        <v>5.0</v>
      </c>
      <c r="H23" s="129">
        <v>5.0</v>
      </c>
      <c r="I23" s="129">
        <v>5.0</v>
      </c>
      <c r="J23" s="129">
        <v>5.0</v>
      </c>
      <c r="K23" s="129">
        <v>5.0</v>
      </c>
      <c r="L23" s="129">
        <v>5.0</v>
      </c>
      <c r="M23" s="129">
        <v>5.0</v>
      </c>
      <c r="N23" s="129">
        <v>5.0</v>
      </c>
      <c r="O23" s="130">
        <v>5.0</v>
      </c>
      <c r="P23" s="130">
        <v>5.0</v>
      </c>
      <c r="Q23" s="130">
        <v>5.0</v>
      </c>
      <c r="R23" s="130">
        <v>5.0</v>
      </c>
      <c r="S23" s="130">
        <v>5.0</v>
      </c>
      <c r="T23" s="130">
        <v>5.0</v>
      </c>
      <c r="U23" s="130">
        <v>5.0</v>
      </c>
      <c r="V23" s="130">
        <v>5.0</v>
      </c>
      <c r="W23" s="130">
        <v>5.0</v>
      </c>
      <c r="X23" s="130">
        <v>5.0</v>
      </c>
      <c r="Y23" s="131"/>
      <c r="Z23" s="131"/>
      <c r="AA23" s="131"/>
      <c r="AB23" s="131"/>
      <c r="AC23" s="131"/>
      <c r="AD23" s="131"/>
      <c r="AE23" s="131"/>
      <c r="AF23" s="131"/>
      <c r="AG23" s="131"/>
      <c r="AH23" s="132"/>
      <c r="AI23" s="133">
        <f t="shared" si="1"/>
        <v>5</v>
      </c>
      <c r="AJ23" s="134">
        <v>5.0</v>
      </c>
      <c r="AK23" s="135">
        <v>5.0</v>
      </c>
      <c r="AL23" s="135">
        <v>5.0</v>
      </c>
      <c r="AM23" s="135">
        <v>5.0</v>
      </c>
      <c r="AN23" s="135">
        <v>5.0</v>
      </c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7"/>
      <c r="BN23" s="138">
        <f t="shared" si="2"/>
        <v>5</v>
      </c>
      <c r="BO23" s="139">
        <v>6.0</v>
      </c>
      <c r="BP23" s="140"/>
      <c r="BQ23" s="140"/>
      <c r="BR23" s="140"/>
      <c r="BS23" s="141"/>
      <c r="BT23" s="142">
        <f t="shared" si="3"/>
        <v>6</v>
      </c>
      <c r="BU23" s="152">
        <v>6.0</v>
      </c>
      <c r="BV23" s="148">
        <v>5.0</v>
      </c>
      <c r="BW23" s="145">
        <v>7.5</v>
      </c>
      <c r="BX23" s="146">
        <f t="shared" si="4"/>
        <v>5.8</v>
      </c>
      <c r="BY23" s="10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</row>
    <row r="24" ht="15.75" customHeight="1">
      <c r="A24" s="104">
        <v>14.0</v>
      </c>
      <c r="B24" s="105" t="str">
        <f>DATOS!C24</f>
        <v>HERNÁNDEZ SALAZAR DIEGO ALDAIR</v>
      </c>
      <c r="C24" s="106"/>
      <c r="D24" s="107">
        <v>5.0</v>
      </c>
      <c r="E24" s="108">
        <v>5.0</v>
      </c>
      <c r="F24" s="108">
        <v>5.0</v>
      </c>
      <c r="G24" s="108">
        <v>5.0</v>
      </c>
      <c r="H24" s="108">
        <v>5.0</v>
      </c>
      <c r="I24" s="108">
        <v>5.0</v>
      </c>
      <c r="J24" s="108">
        <v>5.0</v>
      </c>
      <c r="K24" s="108">
        <v>5.0</v>
      </c>
      <c r="L24" s="108">
        <v>5.0</v>
      </c>
      <c r="M24" s="108">
        <v>5.0</v>
      </c>
      <c r="N24" s="108">
        <v>5.0</v>
      </c>
      <c r="O24" s="109">
        <v>5.0</v>
      </c>
      <c r="P24" s="109">
        <v>5.0</v>
      </c>
      <c r="Q24" s="109">
        <v>5.0</v>
      </c>
      <c r="R24" s="109">
        <v>5.0</v>
      </c>
      <c r="S24" s="109">
        <v>5.0</v>
      </c>
      <c r="T24" s="109">
        <v>5.0</v>
      </c>
      <c r="U24" s="109">
        <v>5.0</v>
      </c>
      <c r="V24" s="109">
        <v>5.0</v>
      </c>
      <c r="W24" s="109">
        <v>5.0</v>
      </c>
      <c r="X24" s="109">
        <v>5.0</v>
      </c>
      <c r="Y24" s="110"/>
      <c r="Z24" s="110"/>
      <c r="AA24" s="110"/>
      <c r="AB24" s="110"/>
      <c r="AC24" s="110"/>
      <c r="AD24" s="110"/>
      <c r="AE24" s="110"/>
      <c r="AF24" s="110"/>
      <c r="AG24" s="110"/>
      <c r="AH24" s="111"/>
      <c r="AI24" s="112">
        <f t="shared" si="1"/>
        <v>5</v>
      </c>
      <c r="AJ24" s="113">
        <v>5.0</v>
      </c>
      <c r="AK24" s="114">
        <v>5.0</v>
      </c>
      <c r="AL24" s="114">
        <v>5.0</v>
      </c>
      <c r="AM24" s="114">
        <v>5.0</v>
      </c>
      <c r="AN24" s="114">
        <v>5.0</v>
      </c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6"/>
      <c r="BN24" s="117">
        <f t="shared" si="2"/>
        <v>5</v>
      </c>
      <c r="BO24" s="118">
        <v>5.0</v>
      </c>
      <c r="BP24" s="119"/>
      <c r="BQ24" s="119"/>
      <c r="BR24" s="119"/>
      <c r="BS24" s="120"/>
      <c r="BT24" s="121">
        <f t="shared" si="3"/>
        <v>5</v>
      </c>
      <c r="BU24" s="150">
        <v>5.0</v>
      </c>
      <c r="BV24" s="123">
        <v>7.0</v>
      </c>
      <c r="BW24" s="124">
        <v>5.0</v>
      </c>
      <c r="BX24" s="125">
        <f t="shared" si="4"/>
        <v>5.2</v>
      </c>
      <c r="BY24" s="10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</row>
    <row r="25" ht="15.75" customHeight="1">
      <c r="A25" s="126">
        <v>15.0</v>
      </c>
      <c r="B25" s="127" t="str">
        <f>DATOS!C25</f>
        <v>JIMENEZ SALAZAR WALTHER DANIEL</v>
      </c>
      <c r="C25" s="106"/>
      <c r="D25" s="128">
        <v>10.0</v>
      </c>
      <c r="E25" s="129">
        <v>10.0</v>
      </c>
      <c r="F25" s="129">
        <v>8.0</v>
      </c>
      <c r="G25" s="129">
        <v>8.0</v>
      </c>
      <c r="H25" s="129">
        <v>8.0</v>
      </c>
      <c r="I25" s="129">
        <v>8.0</v>
      </c>
      <c r="J25" s="129">
        <v>8.0</v>
      </c>
      <c r="K25" s="129">
        <v>8.0</v>
      </c>
      <c r="L25" s="129">
        <v>8.0</v>
      </c>
      <c r="M25" s="129">
        <v>8.0</v>
      </c>
      <c r="N25" s="129">
        <v>8.0</v>
      </c>
      <c r="O25" s="130">
        <v>8.0</v>
      </c>
      <c r="P25" s="130">
        <v>8.0</v>
      </c>
      <c r="Q25" s="130">
        <v>8.0</v>
      </c>
      <c r="R25" s="130">
        <v>8.0</v>
      </c>
      <c r="S25" s="130">
        <v>8.0</v>
      </c>
      <c r="T25" s="130">
        <v>8.0</v>
      </c>
      <c r="U25" s="130">
        <v>9.0</v>
      </c>
      <c r="V25" s="130">
        <v>9.0</v>
      </c>
      <c r="W25" s="130">
        <v>8.0</v>
      </c>
      <c r="X25" s="130">
        <v>8.0</v>
      </c>
      <c r="Y25" s="131"/>
      <c r="Z25" s="131"/>
      <c r="AA25" s="131"/>
      <c r="AB25" s="131"/>
      <c r="AC25" s="131"/>
      <c r="AD25" s="131"/>
      <c r="AE25" s="131"/>
      <c r="AF25" s="131"/>
      <c r="AG25" s="131"/>
      <c r="AH25" s="132"/>
      <c r="AI25" s="133">
        <f t="shared" si="1"/>
        <v>8.285714286</v>
      </c>
      <c r="AJ25" s="147">
        <v>10.0</v>
      </c>
      <c r="AK25" s="136">
        <v>10.0</v>
      </c>
      <c r="AL25" s="136">
        <v>10.0</v>
      </c>
      <c r="AM25" s="136">
        <v>9.0</v>
      </c>
      <c r="AN25" s="136">
        <v>9.0</v>
      </c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7"/>
      <c r="BN25" s="138">
        <f t="shared" si="2"/>
        <v>9.6</v>
      </c>
      <c r="BO25" s="139">
        <v>9.0</v>
      </c>
      <c r="BP25" s="140"/>
      <c r="BQ25" s="140"/>
      <c r="BR25" s="140"/>
      <c r="BS25" s="141"/>
      <c r="BT25" s="142">
        <f t="shared" si="3"/>
        <v>9</v>
      </c>
      <c r="BU25" s="143">
        <v>8.0</v>
      </c>
      <c r="BV25" s="144">
        <v>8.0</v>
      </c>
      <c r="BW25" s="145">
        <v>5.5</v>
      </c>
      <c r="BX25" s="146">
        <f t="shared" si="4"/>
        <v>8.077142857</v>
      </c>
      <c r="BY25" s="10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</row>
    <row r="26" ht="15.75" customHeight="1">
      <c r="A26" s="104">
        <v>16.0</v>
      </c>
      <c r="B26" s="105" t="str">
        <f>DATOS!C26</f>
        <v>MATA MONTES YAEL</v>
      </c>
      <c r="C26" s="106"/>
      <c r="D26" s="107">
        <v>7.0</v>
      </c>
      <c r="E26" s="108">
        <v>7.0</v>
      </c>
      <c r="F26" s="108">
        <v>7.0</v>
      </c>
      <c r="G26" s="108">
        <v>7.0</v>
      </c>
      <c r="H26" s="108">
        <v>7.0</v>
      </c>
      <c r="I26" s="108">
        <v>7.0</v>
      </c>
      <c r="J26" s="108">
        <v>7.0</v>
      </c>
      <c r="K26" s="108">
        <v>7.0</v>
      </c>
      <c r="L26" s="108">
        <v>7.0</v>
      </c>
      <c r="M26" s="108">
        <v>7.0</v>
      </c>
      <c r="N26" s="108">
        <v>7.0</v>
      </c>
      <c r="O26" s="109">
        <v>8.0</v>
      </c>
      <c r="P26" s="109">
        <v>6.0</v>
      </c>
      <c r="Q26" s="109">
        <v>6.0</v>
      </c>
      <c r="R26" s="109">
        <v>6.0</v>
      </c>
      <c r="S26" s="109">
        <v>6.0</v>
      </c>
      <c r="T26" s="109">
        <v>7.0</v>
      </c>
      <c r="U26" s="109">
        <v>7.0</v>
      </c>
      <c r="V26" s="109">
        <v>7.0</v>
      </c>
      <c r="W26" s="109">
        <v>7.0</v>
      </c>
      <c r="X26" s="109">
        <v>7.0</v>
      </c>
      <c r="Y26" s="110"/>
      <c r="Z26" s="110"/>
      <c r="AA26" s="110"/>
      <c r="AB26" s="110"/>
      <c r="AC26" s="110"/>
      <c r="AD26" s="110"/>
      <c r="AE26" s="110"/>
      <c r="AF26" s="110"/>
      <c r="AG26" s="110"/>
      <c r="AH26" s="111"/>
      <c r="AI26" s="112">
        <f t="shared" si="1"/>
        <v>6.857142857</v>
      </c>
      <c r="AJ26" s="113">
        <v>7.0</v>
      </c>
      <c r="AK26" s="115">
        <v>7.0</v>
      </c>
      <c r="AL26" s="115">
        <v>7.0</v>
      </c>
      <c r="AM26" s="115">
        <v>7.0</v>
      </c>
      <c r="AN26" s="115">
        <v>7.0</v>
      </c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6"/>
      <c r="BN26" s="117">
        <f t="shared" si="2"/>
        <v>7</v>
      </c>
      <c r="BO26" s="118">
        <v>10.0</v>
      </c>
      <c r="BP26" s="119"/>
      <c r="BQ26" s="119"/>
      <c r="BR26" s="119"/>
      <c r="BS26" s="120"/>
      <c r="BT26" s="121">
        <f t="shared" si="3"/>
        <v>10</v>
      </c>
      <c r="BU26" s="150">
        <v>8.0</v>
      </c>
      <c r="BV26" s="123">
        <v>7.0</v>
      </c>
      <c r="BW26" s="124">
        <v>5.0</v>
      </c>
      <c r="BX26" s="125">
        <f t="shared" si="4"/>
        <v>7.271428571</v>
      </c>
      <c r="BY26" s="151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</row>
    <row r="27" ht="15.75" customHeight="1">
      <c r="A27" s="126">
        <v>17.0</v>
      </c>
      <c r="B27" s="127" t="str">
        <f>DATOS!C27</f>
        <v>MEZA TURRUBIATES BRITANY YAHIRALIZ</v>
      </c>
      <c r="C27" s="106"/>
      <c r="D27" s="128">
        <v>10.0</v>
      </c>
      <c r="E27" s="129">
        <v>10.0</v>
      </c>
      <c r="F27" s="129">
        <v>10.0</v>
      </c>
      <c r="G27" s="129">
        <v>10.0</v>
      </c>
      <c r="H27" s="129">
        <v>10.0</v>
      </c>
      <c r="I27" s="129">
        <v>10.0</v>
      </c>
      <c r="J27" s="129">
        <v>10.0</v>
      </c>
      <c r="K27" s="129">
        <v>10.0</v>
      </c>
      <c r="L27" s="129">
        <v>10.0</v>
      </c>
      <c r="M27" s="129">
        <v>10.0</v>
      </c>
      <c r="N27" s="129">
        <v>10.0</v>
      </c>
      <c r="O27" s="130">
        <v>10.0</v>
      </c>
      <c r="P27" s="130">
        <v>10.0</v>
      </c>
      <c r="Q27" s="130">
        <v>10.0</v>
      </c>
      <c r="R27" s="130">
        <v>10.0</v>
      </c>
      <c r="S27" s="130">
        <v>10.0</v>
      </c>
      <c r="T27" s="130">
        <v>10.0</v>
      </c>
      <c r="U27" s="130">
        <v>10.0</v>
      </c>
      <c r="V27" s="130">
        <v>10.0</v>
      </c>
      <c r="W27" s="130">
        <v>10.0</v>
      </c>
      <c r="X27" s="130">
        <v>10.0</v>
      </c>
      <c r="Y27" s="131"/>
      <c r="Z27" s="131"/>
      <c r="AA27" s="131"/>
      <c r="AB27" s="131"/>
      <c r="AC27" s="131"/>
      <c r="AD27" s="131"/>
      <c r="AE27" s="131"/>
      <c r="AF27" s="131"/>
      <c r="AG27" s="131"/>
      <c r="AH27" s="132"/>
      <c r="AI27" s="133">
        <f t="shared" si="1"/>
        <v>10</v>
      </c>
      <c r="AJ27" s="134">
        <v>8.0</v>
      </c>
      <c r="AK27" s="135">
        <v>8.0</v>
      </c>
      <c r="AL27" s="135">
        <v>8.0</v>
      </c>
      <c r="AM27" s="135">
        <v>8.0</v>
      </c>
      <c r="AN27" s="135">
        <v>8.0</v>
      </c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7"/>
      <c r="BN27" s="138">
        <f t="shared" si="2"/>
        <v>8</v>
      </c>
      <c r="BO27" s="139">
        <v>9.0</v>
      </c>
      <c r="BP27" s="140"/>
      <c r="BQ27" s="140"/>
      <c r="BR27" s="140"/>
      <c r="BS27" s="141"/>
      <c r="BT27" s="142">
        <f t="shared" si="3"/>
        <v>9</v>
      </c>
      <c r="BU27" s="152">
        <v>9.0</v>
      </c>
      <c r="BV27" s="148">
        <v>9.0</v>
      </c>
      <c r="BW27" s="145">
        <v>5.0</v>
      </c>
      <c r="BX27" s="146">
        <f t="shared" si="4"/>
        <v>8.2</v>
      </c>
      <c r="BY27" s="10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</row>
    <row r="28" ht="15.75" customHeight="1">
      <c r="A28" s="104">
        <v>18.0</v>
      </c>
      <c r="B28" s="105" t="str">
        <f>DATOS!C28</f>
        <v>PEÑA MEDELLÍN CORAL ANJURY</v>
      </c>
      <c r="C28" s="106"/>
      <c r="D28" s="107">
        <v>10.0</v>
      </c>
      <c r="E28" s="108">
        <v>10.0</v>
      </c>
      <c r="F28" s="108">
        <v>10.0</v>
      </c>
      <c r="G28" s="108">
        <v>10.0</v>
      </c>
      <c r="H28" s="108">
        <v>10.0</v>
      </c>
      <c r="I28" s="108">
        <v>10.0</v>
      </c>
      <c r="J28" s="108">
        <v>10.0</v>
      </c>
      <c r="K28" s="108">
        <v>10.0</v>
      </c>
      <c r="L28" s="108">
        <v>10.0</v>
      </c>
      <c r="M28" s="108">
        <v>10.0</v>
      </c>
      <c r="N28" s="108">
        <v>10.0</v>
      </c>
      <c r="O28" s="109">
        <v>10.0</v>
      </c>
      <c r="P28" s="109">
        <v>10.0</v>
      </c>
      <c r="Q28" s="109">
        <v>10.0</v>
      </c>
      <c r="R28" s="109">
        <v>10.0</v>
      </c>
      <c r="S28" s="109">
        <v>10.0</v>
      </c>
      <c r="T28" s="109">
        <v>10.0</v>
      </c>
      <c r="U28" s="109">
        <v>10.0</v>
      </c>
      <c r="V28" s="109">
        <v>10.0</v>
      </c>
      <c r="W28" s="109">
        <v>10.0</v>
      </c>
      <c r="X28" s="109">
        <v>10.0</v>
      </c>
      <c r="Y28" s="110"/>
      <c r="Z28" s="110"/>
      <c r="AA28" s="110"/>
      <c r="AB28" s="110"/>
      <c r="AC28" s="110"/>
      <c r="AD28" s="110"/>
      <c r="AE28" s="110"/>
      <c r="AF28" s="110"/>
      <c r="AG28" s="110"/>
      <c r="AH28" s="111"/>
      <c r="AI28" s="112">
        <f t="shared" si="1"/>
        <v>10</v>
      </c>
      <c r="AJ28" s="113">
        <v>10.0</v>
      </c>
      <c r="AK28" s="114">
        <v>10.0</v>
      </c>
      <c r="AL28" s="114">
        <v>10.0</v>
      </c>
      <c r="AM28" s="114">
        <v>10.0</v>
      </c>
      <c r="AN28" s="114">
        <v>10.0</v>
      </c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6"/>
      <c r="BN28" s="117">
        <f t="shared" si="2"/>
        <v>10</v>
      </c>
      <c r="BO28" s="118">
        <v>10.0</v>
      </c>
      <c r="BP28" s="119"/>
      <c r="BQ28" s="119"/>
      <c r="BR28" s="119"/>
      <c r="BS28" s="120"/>
      <c r="BT28" s="153">
        <v>10.0</v>
      </c>
      <c r="BU28" s="150">
        <v>9.0</v>
      </c>
      <c r="BV28" s="123">
        <v>8.0</v>
      </c>
      <c r="BW28" s="124"/>
      <c r="BX28" s="125">
        <f t="shared" si="4"/>
        <v>7.7</v>
      </c>
      <c r="BY28" s="10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</row>
    <row r="29" ht="15.75" customHeight="1">
      <c r="A29" s="126">
        <v>19.0</v>
      </c>
      <c r="B29" s="127" t="str">
        <f>DATOS!C29</f>
        <v>RAMIREZ GUEIXPAL VANIA GUADALUPE</v>
      </c>
      <c r="C29" s="106"/>
      <c r="D29" s="128">
        <v>10.0</v>
      </c>
      <c r="E29" s="129">
        <v>10.0</v>
      </c>
      <c r="F29" s="129">
        <v>10.0</v>
      </c>
      <c r="G29" s="129">
        <v>10.0</v>
      </c>
      <c r="H29" s="129">
        <v>10.0</v>
      </c>
      <c r="I29" s="129">
        <v>10.0</v>
      </c>
      <c r="J29" s="129">
        <v>10.0</v>
      </c>
      <c r="K29" s="129">
        <v>10.0</v>
      </c>
      <c r="L29" s="129">
        <v>10.0</v>
      </c>
      <c r="M29" s="129">
        <v>10.0</v>
      </c>
      <c r="N29" s="129">
        <v>10.0</v>
      </c>
      <c r="O29" s="130">
        <v>10.0</v>
      </c>
      <c r="P29" s="130">
        <v>10.0</v>
      </c>
      <c r="Q29" s="130">
        <v>10.0</v>
      </c>
      <c r="R29" s="130">
        <v>10.0</v>
      </c>
      <c r="S29" s="130">
        <v>10.0</v>
      </c>
      <c r="T29" s="130">
        <v>10.0</v>
      </c>
      <c r="U29" s="130">
        <v>10.0</v>
      </c>
      <c r="V29" s="130">
        <v>10.0</v>
      </c>
      <c r="W29" s="130">
        <v>10.0</v>
      </c>
      <c r="X29" s="130">
        <v>10.0</v>
      </c>
      <c r="Y29" s="131"/>
      <c r="Z29" s="131"/>
      <c r="AA29" s="131"/>
      <c r="AB29" s="131"/>
      <c r="AC29" s="131"/>
      <c r="AD29" s="131"/>
      <c r="AE29" s="131"/>
      <c r="AF29" s="131"/>
      <c r="AG29" s="131"/>
      <c r="AH29" s="132"/>
      <c r="AI29" s="133">
        <f t="shared" si="1"/>
        <v>10</v>
      </c>
      <c r="AJ29" s="147">
        <v>10.0</v>
      </c>
      <c r="AK29" s="136">
        <v>10.0</v>
      </c>
      <c r="AL29" s="136">
        <v>10.0</v>
      </c>
      <c r="AM29" s="136">
        <v>10.0</v>
      </c>
      <c r="AN29" s="136">
        <v>10.0</v>
      </c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6"/>
      <c r="BM29" s="137"/>
      <c r="BN29" s="138">
        <f t="shared" si="2"/>
        <v>10</v>
      </c>
      <c r="BO29" s="139">
        <v>10.0</v>
      </c>
      <c r="BP29" s="140"/>
      <c r="BQ29" s="140"/>
      <c r="BR29" s="140"/>
      <c r="BS29" s="141"/>
      <c r="BT29" s="142">
        <f t="shared" ref="BT29:BT39" si="5">AVERAGE(BO29:BS29)</f>
        <v>10</v>
      </c>
      <c r="BU29" s="143">
        <v>8.0</v>
      </c>
      <c r="BV29" s="144">
        <v>9.0</v>
      </c>
      <c r="BW29" s="145">
        <v>7.0</v>
      </c>
      <c r="BX29" s="146">
        <f t="shared" si="4"/>
        <v>9.1</v>
      </c>
      <c r="BY29" s="10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</row>
    <row r="30" ht="15.75" customHeight="1">
      <c r="A30" s="104">
        <v>20.0</v>
      </c>
      <c r="B30" s="105" t="str">
        <f>DATOS!C30</f>
        <v>RAMIREZ MARTINEZ EDWIN EMMANUEL</v>
      </c>
      <c r="C30" s="106"/>
      <c r="D30" s="107">
        <v>7.0</v>
      </c>
      <c r="E30" s="108">
        <v>7.0</v>
      </c>
      <c r="F30" s="108">
        <v>7.0</v>
      </c>
      <c r="G30" s="108">
        <v>8.0</v>
      </c>
      <c r="H30" s="108">
        <v>8.0</v>
      </c>
      <c r="I30" s="108">
        <v>8.0</v>
      </c>
      <c r="J30" s="108">
        <v>8.0</v>
      </c>
      <c r="K30" s="108">
        <v>7.0</v>
      </c>
      <c r="L30" s="108">
        <v>9.0</v>
      </c>
      <c r="M30" s="108">
        <v>7.0</v>
      </c>
      <c r="N30" s="108">
        <v>7.0</v>
      </c>
      <c r="O30" s="109">
        <v>7.0</v>
      </c>
      <c r="P30" s="109">
        <v>6.0</v>
      </c>
      <c r="Q30" s="109">
        <v>6.0</v>
      </c>
      <c r="R30" s="109">
        <v>6.0</v>
      </c>
      <c r="S30" s="109">
        <v>6.0</v>
      </c>
      <c r="T30" s="109">
        <v>6.0</v>
      </c>
      <c r="U30" s="109">
        <v>7.0</v>
      </c>
      <c r="V30" s="109">
        <v>7.0</v>
      </c>
      <c r="W30" s="109">
        <v>7.0</v>
      </c>
      <c r="X30" s="109">
        <v>7.0</v>
      </c>
      <c r="Y30" s="110"/>
      <c r="Z30" s="110"/>
      <c r="AA30" s="110"/>
      <c r="AB30" s="110"/>
      <c r="AC30" s="110"/>
      <c r="AD30" s="110"/>
      <c r="AE30" s="110"/>
      <c r="AF30" s="110"/>
      <c r="AG30" s="110"/>
      <c r="AH30" s="111"/>
      <c r="AI30" s="112">
        <f t="shared" si="1"/>
        <v>7.047619048</v>
      </c>
      <c r="AJ30" s="149">
        <v>10.0</v>
      </c>
      <c r="AK30" s="115">
        <v>10.0</v>
      </c>
      <c r="AL30" s="115">
        <v>10.0</v>
      </c>
      <c r="AM30" s="115">
        <v>10.0</v>
      </c>
      <c r="AN30" s="115">
        <v>10.0</v>
      </c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6"/>
      <c r="BN30" s="117">
        <f t="shared" si="2"/>
        <v>10</v>
      </c>
      <c r="BO30" s="118">
        <v>10.0</v>
      </c>
      <c r="BP30" s="119"/>
      <c r="BQ30" s="119"/>
      <c r="BR30" s="119"/>
      <c r="BS30" s="120"/>
      <c r="BT30" s="121">
        <f t="shared" si="5"/>
        <v>10</v>
      </c>
      <c r="BU30" s="122">
        <v>10.0</v>
      </c>
      <c r="BV30" s="154">
        <v>8.0</v>
      </c>
      <c r="BW30" s="124">
        <v>4.7</v>
      </c>
      <c r="BX30" s="125">
        <f t="shared" si="4"/>
        <v>8.14952381</v>
      </c>
      <c r="BY30" s="10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</row>
    <row r="31" ht="15.75" customHeight="1">
      <c r="A31" s="126">
        <v>21.0</v>
      </c>
      <c r="B31" s="127" t="str">
        <f>DATOS!C31</f>
        <v>RANGEL GARCÍA DANIEL TIMOTEO</v>
      </c>
      <c r="C31" s="106"/>
      <c r="D31" s="128">
        <v>9.0</v>
      </c>
      <c r="E31" s="129">
        <v>9.0</v>
      </c>
      <c r="F31" s="129">
        <v>9.0</v>
      </c>
      <c r="G31" s="129">
        <v>9.0</v>
      </c>
      <c r="H31" s="129">
        <v>9.0</v>
      </c>
      <c r="I31" s="129">
        <v>9.0</v>
      </c>
      <c r="J31" s="129">
        <v>9.0</v>
      </c>
      <c r="K31" s="129">
        <v>9.0</v>
      </c>
      <c r="L31" s="129">
        <v>9.0</v>
      </c>
      <c r="M31" s="129">
        <v>9.0</v>
      </c>
      <c r="N31" s="129">
        <v>9.0</v>
      </c>
      <c r="O31" s="130">
        <v>9.0</v>
      </c>
      <c r="P31" s="130">
        <v>9.0</v>
      </c>
      <c r="Q31" s="130">
        <v>9.0</v>
      </c>
      <c r="R31" s="130">
        <v>9.0</v>
      </c>
      <c r="S31" s="130">
        <v>9.0</v>
      </c>
      <c r="T31" s="130">
        <v>9.0</v>
      </c>
      <c r="U31" s="130">
        <v>9.0</v>
      </c>
      <c r="V31" s="130">
        <v>9.0</v>
      </c>
      <c r="W31" s="130">
        <v>9.0</v>
      </c>
      <c r="X31" s="130">
        <v>9.0</v>
      </c>
      <c r="Y31" s="131"/>
      <c r="Z31" s="131"/>
      <c r="AA31" s="131"/>
      <c r="AB31" s="131"/>
      <c r="AC31" s="131"/>
      <c r="AD31" s="131"/>
      <c r="AE31" s="131"/>
      <c r="AF31" s="131"/>
      <c r="AG31" s="131"/>
      <c r="AH31" s="132"/>
      <c r="AI31" s="133">
        <f t="shared" si="1"/>
        <v>9</v>
      </c>
      <c r="AJ31" s="147">
        <v>10.0</v>
      </c>
      <c r="AK31" s="136">
        <v>7.0</v>
      </c>
      <c r="AL31" s="136">
        <v>7.0</v>
      </c>
      <c r="AM31" s="136">
        <v>7.0</v>
      </c>
      <c r="AN31" s="136">
        <v>7.0</v>
      </c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7"/>
      <c r="BN31" s="138">
        <f t="shared" si="2"/>
        <v>7.6</v>
      </c>
      <c r="BO31" s="139">
        <v>9.0</v>
      </c>
      <c r="BP31" s="140"/>
      <c r="BQ31" s="140"/>
      <c r="BR31" s="140"/>
      <c r="BS31" s="141"/>
      <c r="BT31" s="142">
        <f t="shared" si="5"/>
        <v>9</v>
      </c>
      <c r="BU31" s="143">
        <v>7.0</v>
      </c>
      <c r="BV31" s="144">
        <v>6.0</v>
      </c>
      <c r="BW31" s="145">
        <v>5.5</v>
      </c>
      <c r="BX31" s="146">
        <f t="shared" si="4"/>
        <v>7.52</v>
      </c>
      <c r="BY31" s="151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</row>
    <row r="32" ht="15.75" customHeight="1">
      <c r="A32" s="104">
        <v>22.0</v>
      </c>
      <c r="B32" s="105" t="str">
        <f>DATOS!C32</f>
        <v>ROCHA RAMÍREZ CRISTIAN GUADALUPE</v>
      </c>
      <c r="C32" s="106"/>
      <c r="D32" s="107">
        <v>5.0</v>
      </c>
      <c r="E32" s="108">
        <v>5.0</v>
      </c>
      <c r="F32" s="108">
        <v>5.0</v>
      </c>
      <c r="G32" s="108">
        <v>5.0</v>
      </c>
      <c r="H32" s="108">
        <v>5.0</v>
      </c>
      <c r="I32" s="108">
        <v>5.0</v>
      </c>
      <c r="J32" s="108">
        <v>5.0</v>
      </c>
      <c r="K32" s="108">
        <v>5.0</v>
      </c>
      <c r="L32" s="108">
        <v>5.0</v>
      </c>
      <c r="M32" s="108">
        <v>5.0</v>
      </c>
      <c r="N32" s="108">
        <v>5.0</v>
      </c>
      <c r="O32" s="109">
        <v>5.0</v>
      </c>
      <c r="P32" s="109">
        <v>5.0</v>
      </c>
      <c r="Q32" s="109">
        <v>5.0</v>
      </c>
      <c r="R32" s="109">
        <v>5.0</v>
      </c>
      <c r="S32" s="109">
        <v>5.0</v>
      </c>
      <c r="T32" s="109">
        <v>5.0</v>
      </c>
      <c r="U32" s="109">
        <v>5.0</v>
      </c>
      <c r="V32" s="109">
        <v>5.0</v>
      </c>
      <c r="W32" s="109">
        <v>5.0</v>
      </c>
      <c r="X32" s="109">
        <v>5.0</v>
      </c>
      <c r="Y32" s="110"/>
      <c r="Z32" s="110"/>
      <c r="AA32" s="110"/>
      <c r="AB32" s="110"/>
      <c r="AC32" s="110"/>
      <c r="AD32" s="110"/>
      <c r="AE32" s="110"/>
      <c r="AF32" s="110"/>
      <c r="AG32" s="110"/>
      <c r="AH32" s="111"/>
      <c r="AI32" s="112">
        <f t="shared" si="1"/>
        <v>5</v>
      </c>
      <c r="AJ32" s="113">
        <v>5.0</v>
      </c>
      <c r="AK32" s="114">
        <v>5.0</v>
      </c>
      <c r="AL32" s="114">
        <v>5.0</v>
      </c>
      <c r="AM32" s="114">
        <v>5.0</v>
      </c>
      <c r="AN32" s="114">
        <v>5.0</v>
      </c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6"/>
      <c r="BN32" s="117">
        <f t="shared" si="2"/>
        <v>5</v>
      </c>
      <c r="BO32" s="118">
        <v>9.0</v>
      </c>
      <c r="BP32" s="119"/>
      <c r="BQ32" s="119"/>
      <c r="BR32" s="119"/>
      <c r="BS32" s="120"/>
      <c r="BT32" s="121">
        <f t="shared" si="5"/>
        <v>9</v>
      </c>
      <c r="BU32" s="122">
        <v>9.0</v>
      </c>
      <c r="BV32" s="154">
        <v>7.0</v>
      </c>
      <c r="BW32" s="124">
        <v>2.5</v>
      </c>
      <c r="BX32" s="125">
        <f t="shared" si="4"/>
        <v>5.9</v>
      </c>
      <c r="BY32" s="10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</row>
    <row r="33" ht="15.75" customHeight="1">
      <c r="A33" s="126">
        <v>23.0</v>
      </c>
      <c r="B33" s="127" t="str">
        <f>DATOS!C33</f>
        <v>RODULFO ARGÜELLO ISAÍAS TADEO</v>
      </c>
      <c r="C33" s="106"/>
      <c r="D33" s="128">
        <v>7.0</v>
      </c>
      <c r="E33" s="129">
        <v>9.0</v>
      </c>
      <c r="F33" s="129">
        <v>8.0</v>
      </c>
      <c r="G33" s="129">
        <v>8.0</v>
      </c>
      <c r="H33" s="129">
        <v>8.0</v>
      </c>
      <c r="I33" s="129">
        <v>8.0</v>
      </c>
      <c r="J33" s="129">
        <v>8.0</v>
      </c>
      <c r="K33" s="129">
        <v>8.0</v>
      </c>
      <c r="L33" s="129">
        <v>8.0</v>
      </c>
      <c r="M33" s="129">
        <v>8.0</v>
      </c>
      <c r="N33" s="129">
        <v>8.0</v>
      </c>
      <c r="O33" s="130">
        <v>8.0</v>
      </c>
      <c r="P33" s="130">
        <v>8.0</v>
      </c>
      <c r="Q33" s="130">
        <v>8.0</v>
      </c>
      <c r="R33" s="130">
        <v>9.0</v>
      </c>
      <c r="S33" s="130">
        <v>9.0</v>
      </c>
      <c r="T33" s="130">
        <v>8.0</v>
      </c>
      <c r="U33" s="130">
        <v>8.0</v>
      </c>
      <c r="V33" s="130">
        <v>7.0</v>
      </c>
      <c r="W33" s="130">
        <v>7.0</v>
      </c>
      <c r="X33" s="130">
        <v>9.0</v>
      </c>
      <c r="Y33" s="131"/>
      <c r="Z33" s="131"/>
      <c r="AA33" s="131"/>
      <c r="AB33" s="131"/>
      <c r="AC33" s="131"/>
      <c r="AD33" s="131"/>
      <c r="AE33" s="131"/>
      <c r="AF33" s="131"/>
      <c r="AG33" s="131"/>
      <c r="AH33" s="132"/>
      <c r="AI33" s="133">
        <f t="shared" si="1"/>
        <v>8.047619048</v>
      </c>
      <c r="AJ33" s="147">
        <v>10.0</v>
      </c>
      <c r="AK33" s="136">
        <v>10.0</v>
      </c>
      <c r="AL33" s="136">
        <v>8.0</v>
      </c>
      <c r="AM33" s="136">
        <v>8.0</v>
      </c>
      <c r="AN33" s="136">
        <v>8.0</v>
      </c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7"/>
      <c r="BN33" s="138">
        <f t="shared" si="2"/>
        <v>8.8</v>
      </c>
      <c r="BO33" s="139">
        <v>9.0</v>
      </c>
      <c r="BP33" s="140"/>
      <c r="BQ33" s="140"/>
      <c r="BR33" s="140"/>
      <c r="BS33" s="141"/>
      <c r="BT33" s="142">
        <f t="shared" si="5"/>
        <v>9</v>
      </c>
      <c r="BU33" s="143">
        <v>9.0</v>
      </c>
      <c r="BV33" s="144">
        <v>8.0</v>
      </c>
      <c r="BW33" s="145">
        <v>5.0</v>
      </c>
      <c r="BX33" s="146">
        <f t="shared" si="4"/>
        <v>7.86952381</v>
      </c>
      <c r="BY33" s="10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</row>
    <row r="34" ht="15.75" customHeight="1">
      <c r="A34" s="104">
        <v>24.0</v>
      </c>
      <c r="B34" s="105" t="str">
        <f>DATOS!C34</f>
        <v>RUBIO HERNÁNDEZ EVELIN</v>
      </c>
      <c r="C34" s="106"/>
      <c r="D34" s="107">
        <v>10.0</v>
      </c>
      <c r="E34" s="108">
        <v>10.0</v>
      </c>
      <c r="F34" s="108">
        <v>10.0</v>
      </c>
      <c r="G34" s="108">
        <v>10.0</v>
      </c>
      <c r="H34" s="108">
        <v>10.0</v>
      </c>
      <c r="I34" s="108">
        <v>10.0</v>
      </c>
      <c r="J34" s="108">
        <v>10.0</v>
      </c>
      <c r="K34" s="108">
        <v>10.0</v>
      </c>
      <c r="L34" s="108">
        <v>10.0</v>
      </c>
      <c r="M34" s="108">
        <v>10.0</v>
      </c>
      <c r="N34" s="108">
        <v>10.0</v>
      </c>
      <c r="O34" s="109">
        <v>10.0</v>
      </c>
      <c r="P34" s="109">
        <v>10.0</v>
      </c>
      <c r="Q34" s="109">
        <v>10.0</v>
      </c>
      <c r="R34" s="109">
        <v>10.0</v>
      </c>
      <c r="S34" s="109">
        <v>10.0</v>
      </c>
      <c r="T34" s="109">
        <v>10.0</v>
      </c>
      <c r="U34" s="109">
        <v>10.0</v>
      </c>
      <c r="V34" s="109">
        <v>10.0</v>
      </c>
      <c r="W34" s="109">
        <v>10.0</v>
      </c>
      <c r="X34" s="109">
        <v>10.0</v>
      </c>
      <c r="Y34" s="110"/>
      <c r="Z34" s="110"/>
      <c r="AA34" s="110"/>
      <c r="AB34" s="110"/>
      <c r="AC34" s="110"/>
      <c r="AD34" s="110"/>
      <c r="AE34" s="110"/>
      <c r="AF34" s="110"/>
      <c r="AG34" s="110"/>
      <c r="AH34" s="111"/>
      <c r="AI34" s="112">
        <f t="shared" si="1"/>
        <v>10</v>
      </c>
      <c r="AJ34" s="149">
        <v>10.0</v>
      </c>
      <c r="AK34" s="115">
        <v>10.0</v>
      </c>
      <c r="AL34" s="115">
        <v>10.0</v>
      </c>
      <c r="AM34" s="115">
        <v>10.0</v>
      </c>
      <c r="AN34" s="115">
        <v>8.0</v>
      </c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6"/>
      <c r="BN34" s="117">
        <f t="shared" si="2"/>
        <v>9.6</v>
      </c>
      <c r="BO34" s="118">
        <v>10.0</v>
      </c>
      <c r="BP34" s="119"/>
      <c r="BQ34" s="119"/>
      <c r="BR34" s="119"/>
      <c r="BS34" s="120"/>
      <c r="BT34" s="121">
        <f t="shared" si="5"/>
        <v>10</v>
      </c>
      <c r="BU34" s="122">
        <v>10.0</v>
      </c>
      <c r="BV34" s="154">
        <v>8.0</v>
      </c>
      <c r="BW34" s="124">
        <v>7.0</v>
      </c>
      <c r="BX34" s="125">
        <f t="shared" si="4"/>
        <v>9.12</v>
      </c>
      <c r="BY34" s="10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</row>
    <row r="35" ht="15.75" customHeight="1">
      <c r="A35" s="126">
        <v>25.0</v>
      </c>
      <c r="B35" s="127" t="str">
        <f>DATOS!C35</f>
        <v>SALAZAR GOMEZ OSVALDO DAMIAN</v>
      </c>
      <c r="C35" s="106"/>
      <c r="D35" s="128">
        <v>10.0</v>
      </c>
      <c r="E35" s="129">
        <v>10.0</v>
      </c>
      <c r="F35" s="129">
        <v>7.0</v>
      </c>
      <c r="G35" s="129">
        <v>7.0</v>
      </c>
      <c r="H35" s="129">
        <v>7.0</v>
      </c>
      <c r="I35" s="129">
        <v>8.0</v>
      </c>
      <c r="J35" s="129">
        <v>8.0</v>
      </c>
      <c r="K35" s="129">
        <v>7.0</v>
      </c>
      <c r="L35" s="129">
        <v>7.0</v>
      </c>
      <c r="M35" s="129">
        <v>7.0</v>
      </c>
      <c r="N35" s="129">
        <v>7.0</v>
      </c>
      <c r="O35" s="130">
        <v>7.0</v>
      </c>
      <c r="P35" s="130">
        <v>7.0</v>
      </c>
      <c r="Q35" s="130">
        <v>7.0</v>
      </c>
      <c r="R35" s="130">
        <v>6.0</v>
      </c>
      <c r="S35" s="130">
        <v>6.0</v>
      </c>
      <c r="T35" s="130">
        <v>6.0</v>
      </c>
      <c r="U35" s="130">
        <v>6.0</v>
      </c>
      <c r="V35" s="130">
        <v>7.0</v>
      </c>
      <c r="W35" s="130">
        <v>6.0</v>
      </c>
      <c r="X35" s="130">
        <v>6.0</v>
      </c>
      <c r="Y35" s="131"/>
      <c r="Z35" s="131"/>
      <c r="AA35" s="131"/>
      <c r="AB35" s="131"/>
      <c r="AC35" s="131"/>
      <c r="AD35" s="131"/>
      <c r="AE35" s="131"/>
      <c r="AF35" s="131"/>
      <c r="AG35" s="131"/>
      <c r="AH35" s="132"/>
      <c r="AI35" s="133">
        <f t="shared" si="1"/>
        <v>7.095238095</v>
      </c>
      <c r="AJ35" s="147">
        <v>10.0</v>
      </c>
      <c r="AK35" s="136">
        <v>10.0</v>
      </c>
      <c r="AL35" s="136">
        <v>10.0</v>
      </c>
      <c r="AM35" s="136">
        <v>10.0</v>
      </c>
      <c r="AN35" s="136">
        <v>10.0</v>
      </c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7"/>
      <c r="BN35" s="138">
        <f t="shared" si="2"/>
        <v>10</v>
      </c>
      <c r="BO35" s="139">
        <v>9.0</v>
      </c>
      <c r="BP35" s="140"/>
      <c r="BQ35" s="140"/>
      <c r="BR35" s="140"/>
      <c r="BS35" s="141"/>
      <c r="BT35" s="142">
        <f t="shared" si="5"/>
        <v>9</v>
      </c>
      <c r="BU35" s="143">
        <v>10.0</v>
      </c>
      <c r="BV35" s="144">
        <v>9.0</v>
      </c>
      <c r="BW35" s="145">
        <v>5.5</v>
      </c>
      <c r="BX35" s="146">
        <f t="shared" si="4"/>
        <v>8.219047619</v>
      </c>
      <c r="BY35" s="155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</row>
    <row r="36" ht="15.75" customHeight="1">
      <c r="A36" s="104">
        <v>26.0</v>
      </c>
      <c r="B36" s="105" t="str">
        <f>DATOS!C36</f>
        <v>SANTIAGO DEL ANGEL JESUS ANTONIO</v>
      </c>
      <c r="C36" s="106"/>
      <c r="D36" s="107">
        <v>9.0</v>
      </c>
      <c r="E36" s="108">
        <v>9.0</v>
      </c>
      <c r="F36" s="108">
        <v>9.0</v>
      </c>
      <c r="G36" s="108">
        <v>8.0</v>
      </c>
      <c r="H36" s="108">
        <v>8.0</v>
      </c>
      <c r="I36" s="108">
        <v>8.0</v>
      </c>
      <c r="J36" s="108">
        <v>8.0</v>
      </c>
      <c r="K36" s="108">
        <v>8.0</v>
      </c>
      <c r="L36" s="108">
        <v>8.0</v>
      </c>
      <c r="M36" s="108">
        <v>8.0</v>
      </c>
      <c r="N36" s="108">
        <v>9.0</v>
      </c>
      <c r="O36" s="109">
        <v>7.0</v>
      </c>
      <c r="P36" s="109">
        <v>9.0</v>
      </c>
      <c r="Q36" s="109">
        <v>9.0</v>
      </c>
      <c r="R36" s="109">
        <v>8.0</v>
      </c>
      <c r="S36" s="109">
        <v>8.0</v>
      </c>
      <c r="T36" s="109">
        <v>8.0</v>
      </c>
      <c r="U36" s="109">
        <v>8.0</v>
      </c>
      <c r="V36" s="109">
        <v>9.0</v>
      </c>
      <c r="W36" s="109">
        <v>9.0</v>
      </c>
      <c r="X36" s="109">
        <v>9.0</v>
      </c>
      <c r="Y36" s="110"/>
      <c r="Z36" s="110"/>
      <c r="AA36" s="110"/>
      <c r="AB36" s="110"/>
      <c r="AC36" s="110"/>
      <c r="AD36" s="110"/>
      <c r="AE36" s="110"/>
      <c r="AF36" s="110"/>
      <c r="AG36" s="110"/>
      <c r="AH36" s="111"/>
      <c r="AI36" s="112">
        <f t="shared" si="1"/>
        <v>8.380952381</v>
      </c>
      <c r="AJ36" s="149">
        <v>8.0</v>
      </c>
      <c r="AK36" s="115">
        <v>8.0</v>
      </c>
      <c r="AL36" s="115">
        <v>9.0</v>
      </c>
      <c r="AM36" s="115">
        <v>9.0</v>
      </c>
      <c r="AN36" s="115">
        <v>9.0</v>
      </c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6"/>
      <c r="BN36" s="117">
        <f t="shared" si="2"/>
        <v>8.6</v>
      </c>
      <c r="BO36" s="118">
        <v>10.0</v>
      </c>
      <c r="BP36" s="119"/>
      <c r="BQ36" s="119"/>
      <c r="BR36" s="119"/>
      <c r="BS36" s="120"/>
      <c r="BT36" s="121">
        <f t="shared" si="5"/>
        <v>10</v>
      </c>
      <c r="BU36" s="122">
        <v>9.0</v>
      </c>
      <c r="BV36" s="154">
        <v>7.0</v>
      </c>
      <c r="BW36" s="124">
        <v>7.5</v>
      </c>
      <c r="BX36" s="125">
        <f t="shared" si="4"/>
        <v>8.496190476</v>
      </c>
      <c r="BY36" s="10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</row>
    <row r="37" ht="15.75" customHeight="1">
      <c r="A37" s="126">
        <v>27.0</v>
      </c>
      <c r="B37" s="127" t="str">
        <f>DATOS!C37</f>
        <v>SILVA GONZALEZ LEONARDO SAID</v>
      </c>
      <c r="C37" s="106"/>
      <c r="D37" s="128">
        <v>8.0</v>
      </c>
      <c r="E37" s="129">
        <v>8.0</v>
      </c>
      <c r="F37" s="129">
        <v>7.0</v>
      </c>
      <c r="G37" s="129">
        <v>7.0</v>
      </c>
      <c r="H37" s="129">
        <v>8.0</v>
      </c>
      <c r="I37" s="129">
        <v>7.0</v>
      </c>
      <c r="J37" s="129">
        <v>8.0</v>
      </c>
      <c r="K37" s="129">
        <v>9.0</v>
      </c>
      <c r="L37" s="129">
        <v>9.0</v>
      </c>
      <c r="M37" s="129">
        <v>9.0</v>
      </c>
      <c r="N37" s="129">
        <v>8.0</v>
      </c>
      <c r="O37" s="130">
        <v>8.0</v>
      </c>
      <c r="P37" s="130">
        <v>8.0</v>
      </c>
      <c r="Q37" s="130">
        <v>8.0</v>
      </c>
      <c r="R37" s="130">
        <v>7.0</v>
      </c>
      <c r="S37" s="130">
        <v>8.0</v>
      </c>
      <c r="T37" s="130">
        <v>8.0</v>
      </c>
      <c r="U37" s="130">
        <v>9.0</v>
      </c>
      <c r="V37" s="130">
        <v>8.0</v>
      </c>
      <c r="W37" s="130">
        <v>8.0</v>
      </c>
      <c r="X37" s="130">
        <v>8.0</v>
      </c>
      <c r="Y37" s="131"/>
      <c r="Z37" s="131"/>
      <c r="AA37" s="131"/>
      <c r="AB37" s="131"/>
      <c r="AC37" s="131"/>
      <c r="AD37" s="131"/>
      <c r="AE37" s="131"/>
      <c r="AF37" s="131"/>
      <c r="AG37" s="131"/>
      <c r="AH37" s="132"/>
      <c r="AI37" s="133">
        <f t="shared" si="1"/>
        <v>8</v>
      </c>
      <c r="AJ37" s="147">
        <v>10.0</v>
      </c>
      <c r="AK37" s="136">
        <v>10.0</v>
      </c>
      <c r="AL37" s="136">
        <v>6.0</v>
      </c>
      <c r="AM37" s="136">
        <v>7.0</v>
      </c>
      <c r="AN37" s="136">
        <v>7.0</v>
      </c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7"/>
      <c r="BN37" s="138">
        <f t="shared" si="2"/>
        <v>8</v>
      </c>
      <c r="BO37" s="139">
        <v>8.0</v>
      </c>
      <c r="BP37" s="140"/>
      <c r="BQ37" s="140"/>
      <c r="BR37" s="140"/>
      <c r="BS37" s="141"/>
      <c r="BT37" s="142">
        <f t="shared" si="5"/>
        <v>8</v>
      </c>
      <c r="BU37" s="143">
        <v>9.0</v>
      </c>
      <c r="BV37" s="144">
        <v>7.0</v>
      </c>
      <c r="BW37" s="145">
        <v>5.5</v>
      </c>
      <c r="BX37" s="146">
        <f t="shared" si="4"/>
        <v>7.5</v>
      </c>
      <c r="BY37" s="10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</row>
    <row r="38" ht="15.75" customHeight="1">
      <c r="A38" s="104">
        <v>28.0</v>
      </c>
      <c r="B38" s="105" t="str">
        <f>DATOS!C38</f>
        <v>TOBIAS LOZANO ESTEFANY LIZBETH</v>
      </c>
      <c r="C38" s="106"/>
      <c r="D38" s="107">
        <v>9.0</v>
      </c>
      <c r="E38" s="108">
        <v>9.0</v>
      </c>
      <c r="F38" s="108">
        <v>9.0</v>
      </c>
      <c r="G38" s="108">
        <v>9.0</v>
      </c>
      <c r="H38" s="108">
        <v>9.0</v>
      </c>
      <c r="I38" s="108">
        <v>9.0</v>
      </c>
      <c r="J38" s="108">
        <v>9.0</v>
      </c>
      <c r="K38" s="108">
        <v>9.0</v>
      </c>
      <c r="L38" s="108">
        <v>9.0</v>
      </c>
      <c r="M38" s="108">
        <v>9.0</v>
      </c>
      <c r="N38" s="108">
        <v>9.0</v>
      </c>
      <c r="O38" s="109">
        <v>9.0</v>
      </c>
      <c r="P38" s="109">
        <v>9.0</v>
      </c>
      <c r="Q38" s="109">
        <v>9.0</v>
      </c>
      <c r="R38" s="109">
        <v>9.0</v>
      </c>
      <c r="S38" s="109">
        <v>9.0</v>
      </c>
      <c r="T38" s="109">
        <v>9.0</v>
      </c>
      <c r="U38" s="109">
        <v>9.0</v>
      </c>
      <c r="V38" s="109">
        <v>9.0</v>
      </c>
      <c r="W38" s="109">
        <v>9.0</v>
      </c>
      <c r="X38" s="109">
        <v>9.0</v>
      </c>
      <c r="Y38" s="110"/>
      <c r="Z38" s="110"/>
      <c r="AA38" s="110"/>
      <c r="AB38" s="110"/>
      <c r="AC38" s="110"/>
      <c r="AD38" s="110"/>
      <c r="AE38" s="110"/>
      <c r="AF38" s="110"/>
      <c r="AG38" s="110"/>
      <c r="AH38" s="111"/>
      <c r="AI38" s="112">
        <f t="shared" si="1"/>
        <v>9</v>
      </c>
      <c r="AJ38" s="149">
        <v>7.0</v>
      </c>
      <c r="AK38" s="115">
        <v>7.0</v>
      </c>
      <c r="AL38" s="115">
        <v>7.0</v>
      </c>
      <c r="AM38" s="115">
        <v>7.0</v>
      </c>
      <c r="AN38" s="115">
        <v>7.0</v>
      </c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6"/>
      <c r="BN38" s="117">
        <f t="shared" si="2"/>
        <v>7</v>
      </c>
      <c r="BO38" s="118">
        <v>10.0</v>
      </c>
      <c r="BP38" s="119"/>
      <c r="BQ38" s="119"/>
      <c r="BR38" s="119"/>
      <c r="BS38" s="120"/>
      <c r="BT38" s="121">
        <f t="shared" si="5"/>
        <v>10</v>
      </c>
      <c r="BU38" s="122">
        <v>7.0</v>
      </c>
      <c r="BV38" s="154">
        <v>7.0</v>
      </c>
      <c r="BW38" s="124">
        <v>5.5</v>
      </c>
      <c r="BX38" s="125">
        <f t="shared" si="4"/>
        <v>7.7</v>
      </c>
      <c r="BY38" s="10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</row>
    <row r="39" ht="15.75" customHeight="1">
      <c r="A39" s="126">
        <v>29.0</v>
      </c>
      <c r="B39" s="127" t="str">
        <f>DATOS!C39</f>
        <v>TORRES MEDINA JOSHLEY ALEJANDRO</v>
      </c>
      <c r="C39" s="106"/>
      <c r="D39" s="128">
        <v>5.0</v>
      </c>
      <c r="E39" s="129">
        <v>5.0</v>
      </c>
      <c r="F39" s="129">
        <v>5.0</v>
      </c>
      <c r="G39" s="129">
        <v>5.0</v>
      </c>
      <c r="H39" s="129">
        <v>5.0</v>
      </c>
      <c r="I39" s="129">
        <v>5.0</v>
      </c>
      <c r="J39" s="129">
        <v>5.0</v>
      </c>
      <c r="K39" s="129">
        <v>5.0</v>
      </c>
      <c r="L39" s="129">
        <v>5.0</v>
      </c>
      <c r="M39" s="129">
        <v>5.0</v>
      </c>
      <c r="N39" s="129">
        <v>6.0</v>
      </c>
      <c r="O39" s="130">
        <v>5.0</v>
      </c>
      <c r="P39" s="130">
        <v>5.0</v>
      </c>
      <c r="Q39" s="130">
        <v>5.0</v>
      </c>
      <c r="R39" s="130">
        <v>5.0</v>
      </c>
      <c r="S39" s="130">
        <v>5.0</v>
      </c>
      <c r="T39" s="130">
        <v>5.0</v>
      </c>
      <c r="U39" s="130">
        <v>5.0</v>
      </c>
      <c r="V39" s="130">
        <v>5.0</v>
      </c>
      <c r="W39" s="130">
        <v>5.0</v>
      </c>
      <c r="X39" s="130">
        <v>5.0</v>
      </c>
      <c r="Y39" s="131"/>
      <c r="Z39" s="131"/>
      <c r="AA39" s="131"/>
      <c r="AB39" s="131"/>
      <c r="AC39" s="131"/>
      <c r="AD39" s="131"/>
      <c r="AE39" s="131"/>
      <c r="AF39" s="131"/>
      <c r="AG39" s="131"/>
      <c r="AH39" s="132"/>
      <c r="AI39" s="133">
        <f t="shared" si="1"/>
        <v>5.047619048</v>
      </c>
      <c r="AJ39" s="134">
        <v>5.0</v>
      </c>
      <c r="AK39" s="136">
        <v>5.0</v>
      </c>
      <c r="AL39" s="136">
        <v>5.0</v>
      </c>
      <c r="AM39" s="136">
        <v>5.0</v>
      </c>
      <c r="AN39" s="136">
        <v>5.0</v>
      </c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7"/>
      <c r="BN39" s="138">
        <f t="shared" si="2"/>
        <v>5</v>
      </c>
      <c r="BO39" s="139">
        <v>7.0</v>
      </c>
      <c r="BP39" s="140"/>
      <c r="BQ39" s="140"/>
      <c r="BR39" s="140"/>
      <c r="BS39" s="141"/>
      <c r="BT39" s="142">
        <f t="shared" si="5"/>
        <v>7</v>
      </c>
      <c r="BU39" s="143">
        <v>7.0</v>
      </c>
      <c r="BV39" s="144">
        <v>7.0</v>
      </c>
      <c r="BW39" s="145">
        <v>5.5</v>
      </c>
      <c r="BX39" s="146">
        <f t="shared" si="4"/>
        <v>5.90952381</v>
      </c>
      <c r="BY39" s="10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</row>
    <row r="40" ht="15.75" customHeight="1">
      <c r="A40" s="104">
        <v>30.0</v>
      </c>
      <c r="B40" s="105" t="str">
        <f>DATOS!C40</f>
        <v>RAMÍREZ CORREA ALISSON</v>
      </c>
      <c r="C40" s="106"/>
      <c r="D40" s="156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1"/>
      <c r="AI40" s="112"/>
      <c r="AJ40" s="149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6"/>
      <c r="BN40" s="117"/>
      <c r="BO40" s="157"/>
      <c r="BP40" s="119"/>
      <c r="BQ40" s="119"/>
      <c r="BR40" s="119"/>
      <c r="BS40" s="120"/>
      <c r="BT40" s="121"/>
      <c r="BU40" s="122"/>
      <c r="BV40" s="154"/>
      <c r="BW40" s="158"/>
      <c r="BX40" s="125"/>
      <c r="BY40" s="159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</row>
    <row r="41" ht="15.75" customHeight="1">
      <c r="A41" s="126">
        <v>31.0</v>
      </c>
      <c r="B41" s="127" t="str">
        <f>DATOS!C41</f>
        <v/>
      </c>
      <c r="C41" s="106"/>
      <c r="D41" s="160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2"/>
      <c r="AI41" s="133"/>
      <c r="AJ41" s="147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6"/>
      <c r="BM41" s="137"/>
      <c r="BN41" s="138"/>
      <c r="BO41" s="161"/>
      <c r="BP41" s="140"/>
      <c r="BQ41" s="140"/>
      <c r="BR41" s="140"/>
      <c r="BS41" s="141"/>
      <c r="BT41" s="142"/>
      <c r="BU41" s="143"/>
      <c r="BV41" s="144"/>
      <c r="BW41" s="162"/>
      <c r="BX41" s="146"/>
      <c r="BY41" s="159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</row>
    <row r="42" ht="15.75" customHeight="1">
      <c r="A42" s="104">
        <v>32.0</v>
      </c>
      <c r="B42" s="105" t="str">
        <f>DATOS!C42</f>
        <v/>
      </c>
      <c r="C42" s="106"/>
      <c r="D42" s="104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4"/>
      <c r="AI42" s="112"/>
      <c r="AJ42" s="149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6"/>
      <c r="BN42" s="117"/>
      <c r="BO42" s="157"/>
      <c r="BP42" s="119"/>
      <c r="BQ42" s="119"/>
      <c r="BR42" s="119"/>
      <c r="BS42" s="120"/>
      <c r="BT42" s="121"/>
      <c r="BU42" s="122"/>
      <c r="BV42" s="154"/>
      <c r="BW42" s="158"/>
      <c r="BX42" s="125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</row>
    <row r="43" ht="15.75" customHeight="1">
      <c r="A43" s="126">
        <v>33.0</v>
      </c>
      <c r="B43" s="127" t="str">
        <f>DATOS!C43</f>
        <v/>
      </c>
      <c r="C43" s="106"/>
      <c r="D43" s="160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1"/>
      <c r="AH43" s="132"/>
      <c r="AI43" s="133"/>
      <c r="AJ43" s="147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7"/>
      <c r="BN43" s="138"/>
      <c r="BO43" s="161"/>
      <c r="BP43" s="140"/>
      <c r="BQ43" s="140"/>
      <c r="BR43" s="140"/>
      <c r="BS43" s="141"/>
      <c r="BT43" s="142"/>
      <c r="BU43" s="143"/>
      <c r="BV43" s="144"/>
      <c r="BW43" s="162"/>
      <c r="BX43" s="146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</row>
    <row r="44" ht="15.75" customHeight="1">
      <c r="A44" s="104">
        <v>34.0</v>
      </c>
      <c r="B44" s="105" t="str">
        <f>DATOS!C44</f>
        <v/>
      </c>
      <c r="C44" s="106"/>
      <c r="D44" s="104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4"/>
      <c r="AI44" s="112"/>
      <c r="AJ44" s="149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6"/>
      <c r="BN44" s="117"/>
      <c r="BO44" s="157"/>
      <c r="BP44" s="119"/>
      <c r="BQ44" s="119"/>
      <c r="BR44" s="119"/>
      <c r="BS44" s="120"/>
      <c r="BT44" s="121"/>
      <c r="BU44" s="122"/>
      <c r="BV44" s="154"/>
      <c r="BW44" s="158"/>
      <c r="BX44" s="125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</row>
    <row r="45" ht="15.75" customHeight="1">
      <c r="A45" s="126">
        <v>35.0</v>
      </c>
      <c r="B45" s="127" t="str">
        <f>DATOS!C45</f>
        <v/>
      </c>
      <c r="C45" s="106"/>
      <c r="D45" s="160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2"/>
      <c r="AI45" s="133"/>
      <c r="AJ45" s="147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7"/>
      <c r="BN45" s="138"/>
      <c r="BO45" s="161"/>
      <c r="BP45" s="140"/>
      <c r="BQ45" s="140"/>
      <c r="BR45" s="140"/>
      <c r="BS45" s="141"/>
      <c r="BT45" s="142"/>
      <c r="BU45" s="143"/>
      <c r="BV45" s="144"/>
      <c r="BW45" s="162"/>
      <c r="BX45" s="146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</row>
    <row r="46" ht="15.75" customHeight="1">
      <c r="A46" s="104">
        <v>36.0</v>
      </c>
      <c r="B46" s="105" t="str">
        <f>DATOS!C46</f>
        <v/>
      </c>
      <c r="C46" s="106"/>
      <c r="D46" s="104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4"/>
      <c r="AI46" s="112"/>
      <c r="AJ46" s="149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6"/>
      <c r="BN46" s="117"/>
      <c r="BO46" s="157"/>
      <c r="BP46" s="119"/>
      <c r="BQ46" s="119"/>
      <c r="BR46" s="119"/>
      <c r="BS46" s="120"/>
      <c r="BT46" s="121"/>
      <c r="BU46" s="122"/>
      <c r="BV46" s="154"/>
      <c r="BW46" s="158"/>
      <c r="BX46" s="165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</row>
    <row r="47" ht="15.75" customHeight="1">
      <c r="A47" s="126">
        <v>37.0</v>
      </c>
      <c r="B47" s="127" t="str">
        <f>DATOS!C47</f>
        <v/>
      </c>
      <c r="C47" s="106"/>
      <c r="D47" s="160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1"/>
      <c r="AH47" s="132"/>
      <c r="AI47" s="133"/>
      <c r="AJ47" s="147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7"/>
      <c r="BN47" s="138"/>
      <c r="BO47" s="161"/>
      <c r="BP47" s="140"/>
      <c r="BQ47" s="140"/>
      <c r="BR47" s="140"/>
      <c r="BS47" s="141"/>
      <c r="BT47" s="142"/>
      <c r="BU47" s="143"/>
      <c r="BV47" s="144"/>
      <c r="BW47" s="162"/>
      <c r="BX47" s="142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</row>
    <row r="48" ht="15.75" customHeight="1">
      <c r="A48" s="104">
        <v>38.0</v>
      </c>
      <c r="B48" s="105" t="str">
        <f>DATOS!C48</f>
        <v/>
      </c>
      <c r="C48" s="106"/>
      <c r="D48" s="104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4"/>
      <c r="AI48" s="112"/>
      <c r="AJ48" s="149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6"/>
      <c r="BN48" s="117"/>
      <c r="BO48" s="157"/>
      <c r="BP48" s="119"/>
      <c r="BQ48" s="119"/>
      <c r="BR48" s="119"/>
      <c r="BS48" s="120"/>
      <c r="BT48" s="121"/>
      <c r="BU48" s="122"/>
      <c r="BV48" s="154"/>
      <c r="BW48" s="158"/>
      <c r="BX48" s="165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</row>
    <row r="49" ht="15.75" customHeight="1">
      <c r="A49" s="126">
        <v>39.0</v>
      </c>
      <c r="B49" s="127" t="str">
        <f>DATOS!C49</f>
        <v/>
      </c>
      <c r="C49" s="106"/>
      <c r="D49" s="160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1"/>
      <c r="AH49" s="132"/>
      <c r="AI49" s="133"/>
      <c r="AJ49" s="147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7"/>
      <c r="BN49" s="138"/>
      <c r="BO49" s="161"/>
      <c r="BP49" s="140"/>
      <c r="BQ49" s="140"/>
      <c r="BR49" s="140"/>
      <c r="BS49" s="141"/>
      <c r="BT49" s="142"/>
      <c r="BU49" s="143"/>
      <c r="BV49" s="144"/>
      <c r="BW49" s="162"/>
      <c r="BX49" s="142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</row>
    <row r="50" ht="15.75" customHeight="1">
      <c r="A50" s="104">
        <v>40.0</v>
      </c>
      <c r="B50" s="105" t="str">
        <f>DATOS!C50</f>
        <v/>
      </c>
      <c r="C50" s="106"/>
      <c r="D50" s="104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4"/>
      <c r="AI50" s="112"/>
      <c r="AJ50" s="149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6"/>
      <c r="BN50" s="117"/>
      <c r="BO50" s="157"/>
      <c r="BP50" s="119"/>
      <c r="BQ50" s="119"/>
      <c r="BR50" s="119"/>
      <c r="BS50" s="120"/>
      <c r="BT50" s="121"/>
      <c r="BU50" s="122"/>
      <c r="BV50" s="154"/>
      <c r="BW50" s="158"/>
      <c r="BX50" s="165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</row>
    <row r="51" ht="15.75" customHeight="1">
      <c r="A51" s="126">
        <v>41.0</v>
      </c>
      <c r="B51" s="127" t="str">
        <f>DATOS!C51</f>
        <v/>
      </c>
      <c r="C51" s="106"/>
      <c r="D51" s="160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1"/>
      <c r="AH51" s="132"/>
      <c r="AI51" s="133"/>
      <c r="AJ51" s="147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7"/>
      <c r="BN51" s="138"/>
      <c r="BO51" s="161"/>
      <c r="BP51" s="140"/>
      <c r="BQ51" s="140"/>
      <c r="BR51" s="140"/>
      <c r="BS51" s="141"/>
      <c r="BT51" s="142"/>
      <c r="BU51" s="143"/>
      <c r="BV51" s="144"/>
      <c r="BW51" s="162"/>
      <c r="BX51" s="142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</row>
    <row r="52" ht="15.75" customHeight="1">
      <c r="A52" s="104">
        <v>42.0</v>
      </c>
      <c r="B52" s="105" t="str">
        <f>DATOS!C52</f>
        <v/>
      </c>
      <c r="C52" s="106"/>
      <c r="D52" s="104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4"/>
      <c r="AI52" s="112"/>
      <c r="AJ52" s="149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6"/>
      <c r="BN52" s="117"/>
      <c r="BO52" s="157"/>
      <c r="BP52" s="119"/>
      <c r="BQ52" s="119"/>
      <c r="BR52" s="119"/>
      <c r="BS52" s="120"/>
      <c r="BT52" s="121"/>
      <c r="BU52" s="122"/>
      <c r="BV52" s="154"/>
      <c r="BW52" s="158"/>
      <c r="BX52" s="165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</row>
    <row r="53" ht="15.75" customHeight="1">
      <c r="A53" s="126">
        <v>43.0</v>
      </c>
      <c r="B53" s="127" t="str">
        <f>DATOS!C53</f>
        <v/>
      </c>
      <c r="C53" s="106"/>
      <c r="D53" s="160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1"/>
      <c r="AH53" s="132"/>
      <c r="AI53" s="133"/>
      <c r="AJ53" s="147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7"/>
      <c r="BN53" s="138"/>
      <c r="BO53" s="161"/>
      <c r="BP53" s="140"/>
      <c r="BQ53" s="140"/>
      <c r="BR53" s="140"/>
      <c r="BS53" s="141"/>
      <c r="BT53" s="142"/>
      <c r="BU53" s="143"/>
      <c r="BV53" s="144"/>
      <c r="BW53" s="162"/>
      <c r="BX53" s="142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</row>
    <row r="54" ht="15.75" customHeight="1">
      <c r="A54" s="104">
        <v>44.0</v>
      </c>
      <c r="B54" s="105" t="str">
        <f>DATOS!C54</f>
        <v/>
      </c>
      <c r="C54" s="106"/>
      <c r="D54" s="104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4"/>
      <c r="AI54" s="112"/>
      <c r="AJ54" s="149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6"/>
      <c r="BN54" s="117"/>
      <c r="BO54" s="157"/>
      <c r="BP54" s="119"/>
      <c r="BQ54" s="119"/>
      <c r="BR54" s="119"/>
      <c r="BS54" s="120"/>
      <c r="BT54" s="121"/>
      <c r="BU54" s="122"/>
      <c r="BV54" s="154"/>
      <c r="BW54" s="158"/>
      <c r="BX54" s="165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</row>
    <row r="55" ht="15.75" customHeight="1">
      <c r="A55" s="126">
        <v>45.0</v>
      </c>
      <c r="B55" s="127" t="str">
        <f>DATOS!C55</f>
        <v/>
      </c>
      <c r="C55" s="106"/>
      <c r="D55" s="166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7"/>
      <c r="AH55" s="168"/>
      <c r="AI55" s="169"/>
      <c r="AJ55" s="170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1"/>
      <c r="BM55" s="172"/>
      <c r="BN55" s="173"/>
      <c r="BO55" s="174"/>
      <c r="BP55" s="175"/>
      <c r="BQ55" s="175"/>
      <c r="BR55" s="175"/>
      <c r="BS55" s="176"/>
      <c r="BT55" s="177"/>
      <c r="BU55" s="178"/>
      <c r="BV55" s="179"/>
      <c r="BW55" s="180"/>
      <c r="BX55" s="177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</row>
    <row r="56">
      <c r="A56" s="24"/>
      <c r="B56" s="23"/>
      <c r="C56" s="23"/>
      <c r="D56" s="23"/>
      <c r="E56" s="23"/>
      <c r="F56" s="23"/>
      <c r="G56" s="23"/>
      <c r="H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4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181">
        <f>AVERAGEIF(BX11:BX55,"&lt;&gt;#¡DIV/0!")</f>
        <v>7.726436782</v>
      </c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</row>
    <row r="57" ht="15.75" customHeight="1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tr">
        <f>IFERROR(__xludf.DUMMYFUNCTION("ARRAY_CONSTRAIN(ARRAYFORMULA(SPARKLINE('1er Trimestre'!R57:U57, {""charttype"",""column"";""color"",""#244061"";""empty"",""ignore"";""nan"",""convert""})), 1, 1)"),"#N/A")</f>
        <v>#N/A</v>
      </c>
      <c r="W57" s="23"/>
      <c r="X57" s="23" t="str">
        <f>IFERROR(__xludf.DUMMYFUNCTION("ARRAY_CONSTRAIN(ARRAYFORMULA(SPARKLINE('1er Trimestre'!S57:V57, {""charttype"",""column"";""color"",""#244061"";""empty"",""ignore"";""nan"",""convert""})), 1, 1)"),"#N/A")</f>
        <v>#N/A</v>
      </c>
      <c r="Y57" s="23" t="str">
        <f>IFERROR(__xludf.DUMMYFUNCTION("ARRAY_CONSTRAIN(ARRAYFORMULA(SPARKLINE('1er Trimestre'!T57:X57, {""charttype"",""column"";""color"",""#244061"";""empty"",""ignore"";""nan"",""convert""})), 1, 1)"),"#N/A")</f>
        <v>#N/A</v>
      </c>
      <c r="Z57" s="23" t="str">
        <f>IFERROR(__xludf.DUMMYFUNCTION("ARRAY_CONSTRAIN(ARRAYFORMULA(SPARKLINE('1er Trimestre'!U57:Y57, {""charttype"",""column"";""color"",""#244061"";""empty"",""ignore"";""nan"",""convert""})), 1, 1)"),"#N/A")</f>
        <v>#N/A</v>
      </c>
      <c r="AA57" s="23" t="str">
        <f>IFERROR(__xludf.DUMMYFUNCTION("ARRAY_CONSTRAIN(ARRAYFORMULA(SPARKLINE('1er Trimestre'!V57:Z57, {""charttype"",""column"";""color"",""#244061"";""empty"",""ignore"";""nan"",""convert""})), 1, 1)"),"#N/A")</f>
        <v>#N/A</v>
      </c>
      <c r="AB57" s="23"/>
      <c r="AC57" s="23"/>
      <c r="AD57" s="23"/>
      <c r="AE57" s="23"/>
      <c r="AF57" s="23"/>
      <c r="AG57" s="23"/>
      <c r="AH57" s="23"/>
      <c r="AI57" s="24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</row>
    <row r="58" ht="15.75" customHeight="1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4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</row>
    <row r="59" ht="15.75" customHeight="1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4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</row>
    <row r="60" ht="15.75" customHeight="1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4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</row>
    <row r="61" ht="15.75" customHeight="1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4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</row>
    <row r="62" ht="15.75" customHeight="1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4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</row>
    <row r="63" ht="15.75" customHeight="1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4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</row>
    <row r="64" ht="15.75" customHeight="1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4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</row>
    <row r="65" ht="15.75" customHeight="1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4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</row>
    <row r="66" ht="15.75" customHeight="1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4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</row>
    <row r="67" ht="15.75" customHeight="1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4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</row>
    <row r="68" ht="15.75" customHeight="1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4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</row>
    <row r="69" ht="15.75" customHeight="1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4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</row>
    <row r="70" ht="15.75" customHeight="1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4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</row>
    <row r="71" ht="15.75" customHeight="1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4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</row>
    <row r="72" ht="15.75" customHeight="1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4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</row>
    <row r="73" ht="15.75" customHeight="1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4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</row>
    <row r="74" ht="15.75" customHeight="1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4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</row>
    <row r="75" ht="15.75" customHeight="1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4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</row>
    <row r="76" ht="15.75" customHeight="1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4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</row>
    <row r="77" ht="15.75" customHeight="1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4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</row>
    <row r="78" ht="15.75" customHeight="1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4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</row>
    <row r="79" ht="15.75" customHeight="1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4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</row>
    <row r="80" ht="15.75" customHeight="1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4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</row>
    <row r="81" ht="15.75" customHeight="1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4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</row>
    <row r="82" ht="15.75" customHeight="1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4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</row>
    <row r="83" ht="15.75" customHeight="1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4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</row>
    <row r="84" ht="15.75" customHeight="1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4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</row>
    <row r="85" ht="15.75" customHeight="1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4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</row>
    <row r="86" ht="15.75" customHeight="1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4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</row>
    <row r="87" ht="15.75" customHeight="1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4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</row>
    <row r="88" ht="15.75" customHeight="1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4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</row>
    <row r="89" ht="15.75" customHeight="1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4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</row>
    <row r="90" ht="15.75" customHeight="1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4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</row>
    <row r="91" ht="15.75" customHeight="1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4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</row>
    <row r="92" ht="15.75" customHeight="1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4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</row>
    <row r="93" ht="15.75" customHeight="1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4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</row>
    <row r="94" ht="15.75" customHeight="1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4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</row>
    <row r="95" ht="15.75" customHeight="1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4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</row>
    <row r="96" ht="15.75" customHeight="1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4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</row>
    <row r="97" ht="15.75" customHeight="1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4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</row>
    <row r="98" ht="15.75" customHeight="1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4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</row>
    <row r="99" ht="15.75" customHeight="1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4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</row>
    <row r="100" ht="15.75" customHeight="1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4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9">
    <mergeCell ref="B34:C34"/>
    <mergeCell ref="B35:C35"/>
    <mergeCell ref="B36:C36"/>
    <mergeCell ref="B37:C37"/>
    <mergeCell ref="B38:C38"/>
    <mergeCell ref="B39:C39"/>
    <mergeCell ref="B40:C40"/>
    <mergeCell ref="B48:C48"/>
    <mergeCell ref="B49:C49"/>
    <mergeCell ref="B50:C50"/>
    <mergeCell ref="B51:C51"/>
    <mergeCell ref="B52:C52"/>
    <mergeCell ref="B53:C53"/>
    <mergeCell ref="B54:C54"/>
    <mergeCell ref="B55:C55"/>
    <mergeCell ref="B41:C41"/>
    <mergeCell ref="B42:C42"/>
    <mergeCell ref="B43:C43"/>
    <mergeCell ref="B44:C44"/>
    <mergeCell ref="B45:C45"/>
    <mergeCell ref="B46:C46"/>
    <mergeCell ref="B47:C47"/>
    <mergeCell ref="A1:C1"/>
    <mergeCell ref="BV1:BW1"/>
    <mergeCell ref="B2:C2"/>
    <mergeCell ref="BV2:BW2"/>
    <mergeCell ref="BO3:BT3"/>
    <mergeCell ref="BV3:BW3"/>
    <mergeCell ref="B4:C4"/>
    <mergeCell ref="BV4:BW4"/>
    <mergeCell ref="BU9:BU10"/>
    <mergeCell ref="BV9:BV10"/>
    <mergeCell ref="BW9:BW10"/>
    <mergeCell ref="BX9:BX10"/>
    <mergeCell ref="BO4:BO9"/>
    <mergeCell ref="BP4:BP9"/>
    <mergeCell ref="BQ4:BQ9"/>
    <mergeCell ref="BR4:BR9"/>
    <mergeCell ref="BS4:BS9"/>
    <mergeCell ref="BT4:BT9"/>
    <mergeCell ref="BV5:BW5"/>
    <mergeCell ref="BV6:BW6"/>
    <mergeCell ref="BV7:BW7"/>
    <mergeCell ref="D9:AI9"/>
    <mergeCell ref="AJ9:BN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 outlineLevelCol="1"/>
  <cols>
    <col customWidth="1" min="1" max="1" width="10.0"/>
    <col customWidth="1" min="2" max="2" width="28.88"/>
    <col customWidth="1" min="3" max="3" width="14.88"/>
    <col customWidth="1" min="4" max="4" width="4.25" outlineLevel="1"/>
    <col customWidth="1" min="5" max="7" width="3.75" outlineLevel="1"/>
    <col customWidth="1" min="8" max="8" width="4.25" outlineLevel="1"/>
    <col customWidth="1" min="9" max="9" width="4.38" outlineLevel="1"/>
    <col customWidth="1" min="10" max="11" width="3.75" outlineLevel="1"/>
    <col customWidth="1" min="12" max="12" width="5.0" outlineLevel="1"/>
    <col customWidth="1" min="13" max="23" width="3.75" outlineLevel="1"/>
    <col customWidth="1" hidden="1" min="24" max="33" width="3.75" outlineLevel="1"/>
    <col customWidth="1" min="34" max="34" width="15.75"/>
    <col customWidth="1" min="35" max="39" width="3.75" outlineLevel="1"/>
    <col customWidth="1" hidden="1" min="40" max="63" width="3.75" outlineLevel="1"/>
    <col customWidth="1" hidden="1" min="64" max="64" width="4.13" outlineLevel="1"/>
    <col customWidth="1" min="65" max="65" width="12.13"/>
    <col customWidth="1" min="66" max="68" width="5.13"/>
    <col customWidth="1" hidden="1" min="69" max="72" width="5.13"/>
    <col customWidth="1" min="73" max="73" width="10.88"/>
    <col customWidth="1" min="74" max="74" width="14.13"/>
    <col customWidth="1" min="75" max="75" width="13.0"/>
    <col customWidth="1" min="76" max="76" width="12.38"/>
    <col customWidth="1" min="77" max="77" width="10.13"/>
    <col customWidth="1" min="78" max="97" width="3.75"/>
  </cols>
  <sheetData>
    <row r="1" ht="21.0" customHeight="1">
      <c r="A1" s="21" t="str">
        <f>DATOS!D3</f>
        <v>EST 128</v>
      </c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4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5" t="s">
        <v>41</v>
      </c>
      <c r="BX1" s="26"/>
      <c r="BY1" s="27">
        <v>0.2</v>
      </c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</row>
    <row r="2" ht="21.0" customHeight="1">
      <c r="A2" s="28" t="s">
        <v>42</v>
      </c>
      <c r="B2" s="29" t="str">
        <f>DATOS!D4</f>
        <v>Omar Mata</v>
      </c>
      <c r="C2" s="30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4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31" t="s">
        <v>43</v>
      </c>
      <c r="BX2" s="3"/>
      <c r="BY2" s="32">
        <v>0.2</v>
      </c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</row>
    <row r="3" ht="21.0" customHeight="1">
      <c r="A3" s="33" t="s">
        <v>5</v>
      </c>
      <c r="B3" s="34">
        <f>DATOS!D5</f>
        <v>3</v>
      </c>
      <c r="C3" s="34" t="str">
        <f>DATOS!D6</f>
        <v>E</v>
      </c>
      <c r="D3" s="23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6" t="s">
        <v>44</v>
      </c>
      <c r="BO3" s="37"/>
      <c r="BP3" s="37"/>
      <c r="BQ3" s="37"/>
      <c r="BR3" s="37"/>
      <c r="BS3" s="37"/>
      <c r="BT3" s="37"/>
      <c r="BU3" s="30"/>
      <c r="BV3" s="35"/>
      <c r="BW3" s="38" t="s">
        <v>44</v>
      </c>
      <c r="BX3" s="3"/>
      <c r="BY3" s="39">
        <v>0.2</v>
      </c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</row>
    <row r="4" ht="21.0" customHeight="1">
      <c r="A4" s="40" t="s">
        <v>45</v>
      </c>
      <c r="B4" s="41" t="s">
        <v>46</v>
      </c>
      <c r="C4" s="3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42" t="s">
        <v>58</v>
      </c>
      <c r="BO4" s="182" t="s">
        <v>59</v>
      </c>
      <c r="BP4" s="182" t="s">
        <v>60</v>
      </c>
      <c r="BQ4" s="43"/>
      <c r="BR4" s="43"/>
      <c r="BS4" s="43"/>
      <c r="BT4" s="43"/>
      <c r="BU4" s="44"/>
      <c r="BV4" s="23"/>
      <c r="BW4" s="45" t="s">
        <v>48</v>
      </c>
      <c r="BX4" s="3"/>
      <c r="BY4" s="46">
        <v>0.1</v>
      </c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</row>
    <row r="5" ht="21.0" customHeight="1">
      <c r="A5" s="47"/>
      <c r="B5" s="48"/>
      <c r="C5" s="48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49"/>
      <c r="BO5" s="183"/>
      <c r="BP5" s="183"/>
      <c r="BQ5" s="50"/>
      <c r="BR5" s="50"/>
      <c r="BS5" s="50"/>
      <c r="BT5" s="50"/>
      <c r="BU5" s="51"/>
      <c r="BV5" s="23"/>
      <c r="BW5" s="52" t="s">
        <v>49</v>
      </c>
      <c r="BX5" s="3"/>
      <c r="BY5" s="53">
        <v>0.1</v>
      </c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</row>
    <row r="6" ht="21.0" customHeight="1">
      <c r="A6" s="47"/>
      <c r="B6" s="48"/>
      <c r="C6" s="48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49"/>
      <c r="BO6" s="183"/>
      <c r="BP6" s="183"/>
      <c r="BQ6" s="50"/>
      <c r="BR6" s="50"/>
      <c r="BS6" s="50"/>
      <c r="BT6" s="50"/>
      <c r="BU6" s="51"/>
      <c r="BV6" s="23"/>
      <c r="BW6" s="54" t="s">
        <v>50</v>
      </c>
      <c r="BX6" s="3"/>
      <c r="BY6" s="55">
        <v>0.2</v>
      </c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</row>
    <row r="7" ht="21.0" customHeight="1">
      <c r="A7" s="47"/>
      <c r="C7" s="4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49"/>
      <c r="BO7" s="183"/>
      <c r="BP7" s="183"/>
      <c r="BQ7" s="50"/>
      <c r="BR7" s="50"/>
      <c r="BS7" s="50"/>
      <c r="BT7" s="50"/>
      <c r="BU7" s="51"/>
      <c r="BV7" s="23"/>
      <c r="BW7" s="56" t="s">
        <v>51</v>
      </c>
      <c r="BX7" s="57"/>
      <c r="BY7" s="58">
        <f>SUM(BY1:BY6)</f>
        <v>1</v>
      </c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</row>
    <row r="8" ht="16.5" customHeight="1">
      <c r="A8" s="47"/>
      <c r="B8" s="59"/>
      <c r="C8" s="59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49"/>
      <c r="BO8" s="183"/>
      <c r="BP8" s="183"/>
      <c r="BQ8" s="50"/>
      <c r="BR8" s="50"/>
      <c r="BS8" s="50"/>
      <c r="BT8" s="50"/>
      <c r="BU8" s="51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</row>
    <row r="9" ht="19.5" customHeight="1">
      <c r="A9" s="24"/>
      <c r="B9" s="23"/>
      <c r="C9" s="23"/>
      <c r="D9" s="60" t="s">
        <v>41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0"/>
      <c r="AI9" s="61" t="s">
        <v>43</v>
      </c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62"/>
      <c r="BO9" s="184"/>
      <c r="BP9" s="184"/>
      <c r="BQ9" s="63"/>
      <c r="BR9" s="63"/>
      <c r="BS9" s="63"/>
      <c r="BT9" s="63"/>
      <c r="BU9" s="64"/>
      <c r="BV9" s="65" t="s">
        <v>48</v>
      </c>
      <c r="BW9" s="66" t="s">
        <v>49</v>
      </c>
      <c r="BX9" s="67" t="s">
        <v>52</v>
      </c>
      <c r="BY9" s="68" t="s">
        <v>53</v>
      </c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</row>
    <row r="10" ht="42.0" customHeight="1">
      <c r="A10" s="69" t="s">
        <v>9</v>
      </c>
      <c r="B10" s="70" t="s">
        <v>54</v>
      </c>
      <c r="C10" s="71"/>
      <c r="D10" s="72">
        <v>1.0</v>
      </c>
      <c r="E10" s="73">
        <v>2.0</v>
      </c>
      <c r="F10" s="73">
        <v>3.0</v>
      </c>
      <c r="G10" s="73">
        <v>4.0</v>
      </c>
      <c r="H10" s="73">
        <v>5.0</v>
      </c>
      <c r="I10" s="73">
        <v>6.0</v>
      </c>
      <c r="J10" s="73">
        <v>7.0</v>
      </c>
      <c r="K10" s="73">
        <v>8.0</v>
      </c>
      <c r="L10" s="73">
        <v>9.0</v>
      </c>
      <c r="M10" s="73">
        <v>10.0</v>
      </c>
      <c r="N10" s="73">
        <v>11.0</v>
      </c>
      <c r="O10" s="73">
        <v>12.0</v>
      </c>
      <c r="P10" s="73">
        <v>13.0</v>
      </c>
      <c r="Q10" s="73">
        <v>14.0</v>
      </c>
      <c r="R10" s="73">
        <v>15.0</v>
      </c>
      <c r="S10" s="73">
        <v>16.0</v>
      </c>
      <c r="T10" s="73">
        <v>17.0</v>
      </c>
      <c r="U10" s="73">
        <v>18.0</v>
      </c>
      <c r="V10" s="73">
        <v>19.0</v>
      </c>
      <c r="W10" s="74">
        <v>20.0</v>
      </c>
      <c r="X10" s="73">
        <v>21.0</v>
      </c>
      <c r="Y10" s="73">
        <v>22.0</v>
      </c>
      <c r="Z10" s="73">
        <v>23.0</v>
      </c>
      <c r="AA10" s="73">
        <v>24.0</v>
      </c>
      <c r="AB10" s="73">
        <v>25.0</v>
      </c>
      <c r="AC10" s="73">
        <v>26.0</v>
      </c>
      <c r="AD10" s="73">
        <v>27.0</v>
      </c>
      <c r="AE10" s="73">
        <v>28.0</v>
      </c>
      <c r="AF10" s="73">
        <v>29.0</v>
      </c>
      <c r="AG10" s="75">
        <v>30.0</v>
      </c>
      <c r="AH10" s="76" t="s">
        <v>55</v>
      </c>
      <c r="AI10" s="72">
        <v>1.0</v>
      </c>
      <c r="AJ10" s="73">
        <v>2.0</v>
      </c>
      <c r="AK10" s="73">
        <v>3.0</v>
      </c>
      <c r="AL10" s="73">
        <v>4.0</v>
      </c>
      <c r="AM10" s="73">
        <v>5.0</v>
      </c>
      <c r="AN10" s="73">
        <v>6.0</v>
      </c>
      <c r="AO10" s="73">
        <v>7.0</v>
      </c>
      <c r="AP10" s="73">
        <v>8.0</v>
      </c>
      <c r="AQ10" s="73">
        <v>9.0</v>
      </c>
      <c r="AR10" s="73">
        <v>10.0</v>
      </c>
      <c r="AS10" s="73">
        <v>11.0</v>
      </c>
      <c r="AT10" s="73">
        <v>12.0</v>
      </c>
      <c r="AU10" s="73">
        <v>13.0</v>
      </c>
      <c r="AV10" s="73">
        <v>14.0</v>
      </c>
      <c r="AW10" s="73">
        <v>15.0</v>
      </c>
      <c r="AX10" s="73">
        <v>16.0</v>
      </c>
      <c r="AY10" s="73">
        <v>17.0</v>
      </c>
      <c r="AZ10" s="73">
        <v>18.0</v>
      </c>
      <c r="BA10" s="73">
        <v>19.0</v>
      </c>
      <c r="BB10" s="73">
        <v>20.0</v>
      </c>
      <c r="BC10" s="73">
        <v>21.0</v>
      </c>
      <c r="BD10" s="73">
        <v>22.0</v>
      </c>
      <c r="BE10" s="73">
        <v>23.0</v>
      </c>
      <c r="BF10" s="73">
        <v>24.0</v>
      </c>
      <c r="BG10" s="73">
        <v>25.0</v>
      </c>
      <c r="BH10" s="73">
        <v>26.0</v>
      </c>
      <c r="BI10" s="73">
        <v>27.0</v>
      </c>
      <c r="BJ10" s="73">
        <v>28.0</v>
      </c>
      <c r="BK10" s="73">
        <v>29.0</v>
      </c>
      <c r="BL10" s="75">
        <v>30.0</v>
      </c>
      <c r="BM10" s="77" t="s">
        <v>56</v>
      </c>
      <c r="BN10" s="78">
        <v>1.0</v>
      </c>
      <c r="BO10" s="185">
        <v>2.0</v>
      </c>
      <c r="BP10" s="185">
        <v>3.0</v>
      </c>
      <c r="BQ10" s="79">
        <v>2.0</v>
      </c>
      <c r="BR10" s="79">
        <v>3.0</v>
      </c>
      <c r="BS10" s="79">
        <v>4.0</v>
      </c>
      <c r="BT10" s="80">
        <v>5.0</v>
      </c>
      <c r="BU10" s="81" t="s">
        <v>57</v>
      </c>
      <c r="BV10" s="82"/>
      <c r="BW10" s="83"/>
      <c r="BX10" s="84"/>
      <c r="BY10" s="83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</row>
    <row r="11" ht="15.75" customHeight="1">
      <c r="A11" s="86">
        <v>1.0</v>
      </c>
      <c r="B11" s="87" t="str">
        <f>DATOS!C11</f>
        <v>ARMENDARIZ CUELLAR MIA ISABELLA</v>
      </c>
      <c r="C11" s="88"/>
      <c r="D11" s="89">
        <v>10.0</v>
      </c>
      <c r="E11" s="90">
        <v>10.0</v>
      </c>
      <c r="F11" s="90">
        <v>10.0</v>
      </c>
      <c r="G11" s="90">
        <v>10.0</v>
      </c>
      <c r="H11" s="90">
        <v>10.0</v>
      </c>
      <c r="I11" s="90">
        <v>10.0</v>
      </c>
      <c r="J11" s="90">
        <v>10.0</v>
      </c>
      <c r="K11" s="90">
        <v>10.0</v>
      </c>
      <c r="L11" s="90">
        <v>10.0</v>
      </c>
      <c r="M11" s="90">
        <v>10.0</v>
      </c>
      <c r="N11" s="90">
        <v>10.0</v>
      </c>
      <c r="O11" s="91">
        <v>10.0</v>
      </c>
      <c r="P11" s="91">
        <v>10.0</v>
      </c>
      <c r="Q11" s="91">
        <v>10.0</v>
      </c>
      <c r="R11" s="91">
        <v>10.0</v>
      </c>
      <c r="S11" s="91">
        <v>10.0</v>
      </c>
      <c r="T11" s="91">
        <v>10.0</v>
      </c>
      <c r="U11" s="91">
        <v>10.0</v>
      </c>
      <c r="V11" s="91">
        <v>10.0</v>
      </c>
      <c r="W11" s="91">
        <v>10.0</v>
      </c>
      <c r="X11" s="92"/>
      <c r="Y11" s="92"/>
      <c r="Z11" s="92"/>
      <c r="AA11" s="92"/>
      <c r="AB11" s="92"/>
      <c r="AC11" s="92"/>
      <c r="AD11" s="92"/>
      <c r="AE11" s="92"/>
      <c r="AF11" s="92"/>
      <c r="AG11" s="93"/>
      <c r="AH11" s="94">
        <f t="shared" ref="AH11:AH40" si="1">AVERAGE(D11:AG11)</f>
        <v>10</v>
      </c>
      <c r="AI11" s="95">
        <v>9.0</v>
      </c>
      <c r="AJ11" s="91"/>
      <c r="AK11" s="91"/>
      <c r="AL11" s="91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2"/>
      <c r="BH11" s="92"/>
      <c r="BI11" s="92"/>
      <c r="BJ11" s="92"/>
      <c r="BK11" s="92"/>
      <c r="BL11" s="93"/>
      <c r="BM11" s="96">
        <f t="shared" ref="BM11:BM40" si="2">AVERAGE(AI11:BL11)</f>
        <v>9</v>
      </c>
      <c r="BN11" s="97">
        <v>9.0</v>
      </c>
      <c r="BO11" s="186">
        <v>10.0</v>
      </c>
      <c r="BP11" s="186">
        <v>10.0</v>
      </c>
      <c r="BQ11" s="98"/>
      <c r="BR11" s="98"/>
      <c r="BS11" s="98"/>
      <c r="BT11" s="99"/>
      <c r="BU11" s="94">
        <f t="shared" ref="BU11:BU27" si="3">AVERAGE(BN11:BT11)</f>
        <v>9.666666667</v>
      </c>
      <c r="BV11" s="100">
        <v>10.0</v>
      </c>
      <c r="BW11" s="101">
        <v>10.0</v>
      </c>
      <c r="BX11" s="102">
        <v>9.5</v>
      </c>
      <c r="BY11" s="96">
        <f t="shared" ref="BY11:BY27" si="4">(AH11*$BY$1)+(BM11*$BY$2)+(BU11*$BY$3)+(BV11*$BY$4)+(BW11*$BY$5)+(BX11*$BY$6)</f>
        <v>9.633333333</v>
      </c>
      <c r="BZ11" s="10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</row>
    <row r="12" ht="15.75" customHeight="1">
      <c r="A12" s="104">
        <v>2.0</v>
      </c>
      <c r="B12" s="105" t="str">
        <f>DATOS!C12</f>
        <v>BLANCO SALGADO LLUVIA CRISTAL</v>
      </c>
      <c r="C12" s="106"/>
      <c r="D12" s="107">
        <v>10.0</v>
      </c>
      <c r="E12" s="108">
        <v>10.0</v>
      </c>
      <c r="F12" s="108">
        <v>10.0</v>
      </c>
      <c r="G12" s="108">
        <v>10.0</v>
      </c>
      <c r="H12" s="108">
        <v>10.0</v>
      </c>
      <c r="I12" s="108">
        <v>10.0</v>
      </c>
      <c r="J12" s="108">
        <v>10.0</v>
      </c>
      <c r="K12" s="108">
        <v>10.0</v>
      </c>
      <c r="L12" s="108">
        <v>10.0</v>
      </c>
      <c r="M12" s="108">
        <v>10.0</v>
      </c>
      <c r="N12" s="108">
        <v>10.0</v>
      </c>
      <c r="O12" s="109">
        <v>10.0</v>
      </c>
      <c r="P12" s="109">
        <v>10.0</v>
      </c>
      <c r="Q12" s="109">
        <v>10.0</v>
      </c>
      <c r="R12" s="109">
        <v>10.0</v>
      </c>
      <c r="S12" s="109">
        <v>10.0</v>
      </c>
      <c r="T12" s="109">
        <v>10.0</v>
      </c>
      <c r="U12" s="109">
        <v>10.0</v>
      </c>
      <c r="V12" s="109">
        <v>10.0</v>
      </c>
      <c r="W12" s="109">
        <v>10.0</v>
      </c>
      <c r="X12" s="110"/>
      <c r="Y12" s="110"/>
      <c r="Z12" s="110"/>
      <c r="AA12" s="110"/>
      <c r="AB12" s="110"/>
      <c r="AC12" s="110"/>
      <c r="AD12" s="110"/>
      <c r="AE12" s="110"/>
      <c r="AF12" s="110"/>
      <c r="AG12" s="111"/>
      <c r="AH12" s="112">
        <f t="shared" si="1"/>
        <v>10</v>
      </c>
      <c r="AI12" s="113">
        <v>8.0</v>
      </c>
      <c r="AJ12" s="114"/>
      <c r="AK12" s="114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6"/>
      <c r="BM12" s="117">
        <f t="shared" si="2"/>
        <v>8</v>
      </c>
      <c r="BN12" s="118">
        <v>9.0</v>
      </c>
      <c r="BO12" s="187">
        <v>10.0</v>
      </c>
      <c r="BP12" s="187">
        <v>10.0</v>
      </c>
      <c r="BQ12" s="119"/>
      <c r="BR12" s="119"/>
      <c r="BS12" s="119"/>
      <c r="BT12" s="120"/>
      <c r="BU12" s="121">
        <f t="shared" si="3"/>
        <v>9.666666667</v>
      </c>
      <c r="BV12" s="150">
        <v>10.0</v>
      </c>
      <c r="BW12" s="123">
        <v>10.0</v>
      </c>
      <c r="BX12" s="124">
        <v>10.0</v>
      </c>
      <c r="BY12" s="125">
        <f t="shared" si="4"/>
        <v>9.533333333</v>
      </c>
      <c r="BZ12" s="10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</row>
    <row r="13" ht="15.75" customHeight="1">
      <c r="A13" s="126">
        <v>3.0</v>
      </c>
      <c r="B13" s="127" t="str">
        <f>DATOS!C13</f>
        <v>CANTU AGUILAR ASHLEY DAYANA</v>
      </c>
      <c r="C13" s="106"/>
      <c r="D13" s="128">
        <v>9.0</v>
      </c>
      <c r="E13" s="129">
        <v>7.0</v>
      </c>
      <c r="F13" s="129">
        <v>7.0</v>
      </c>
      <c r="G13" s="129">
        <v>7.0</v>
      </c>
      <c r="H13" s="129">
        <v>6.0</v>
      </c>
      <c r="I13" s="129">
        <v>6.0</v>
      </c>
      <c r="J13" s="129">
        <v>6.0</v>
      </c>
      <c r="K13" s="129">
        <v>6.0</v>
      </c>
      <c r="L13" s="129">
        <v>6.0</v>
      </c>
      <c r="M13" s="129">
        <v>6.0</v>
      </c>
      <c r="N13" s="129">
        <v>7.0</v>
      </c>
      <c r="O13" s="130">
        <v>7.0</v>
      </c>
      <c r="P13" s="130">
        <v>7.0</v>
      </c>
      <c r="Q13" s="130">
        <v>7.0</v>
      </c>
      <c r="R13" s="130">
        <v>6.0</v>
      </c>
      <c r="S13" s="130">
        <v>8.0</v>
      </c>
      <c r="T13" s="130">
        <v>9.0</v>
      </c>
      <c r="U13" s="130">
        <v>8.0</v>
      </c>
      <c r="V13" s="130">
        <v>7.0</v>
      </c>
      <c r="W13" s="130">
        <v>7.0</v>
      </c>
      <c r="X13" s="131"/>
      <c r="Y13" s="131"/>
      <c r="Z13" s="131"/>
      <c r="AA13" s="131"/>
      <c r="AB13" s="131"/>
      <c r="AC13" s="131"/>
      <c r="AD13" s="131"/>
      <c r="AE13" s="131"/>
      <c r="AF13" s="131"/>
      <c r="AG13" s="132"/>
      <c r="AH13" s="133">
        <f t="shared" si="1"/>
        <v>6.95</v>
      </c>
      <c r="AI13" s="134">
        <v>7.0</v>
      </c>
      <c r="AJ13" s="135"/>
      <c r="AK13" s="135"/>
      <c r="AL13" s="135"/>
      <c r="AM13" s="135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6"/>
      <c r="BH13" s="136"/>
      <c r="BI13" s="136"/>
      <c r="BJ13" s="136"/>
      <c r="BK13" s="136"/>
      <c r="BL13" s="137"/>
      <c r="BM13" s="138">
        <f t="shared" si="2"/>
        <v>7</v>
      </c>
      <c r="BN13" s="139">
        <v>8.0</v>
      </c>
      <c r="BO13" s="188">
        <v>9.0</v>
      </c>
      <c r="BP13" s="188">
        <v>10.0</v>
      </c>
      <c r="BQ13" s="140"/>
      <c r="BR13" s="140"/>
      <c r="BS13" s="140"/>
      <c r="BT13" s="141"/>
      <c r="BU13" s="142">
        <f t="shared" si="3"/>
        <v>9</v>
      </c>
      <c r="BV13" s="152">
        <v>8.0</v>
      </c>
      <c r="BW13" s="148">
        <v>8.0</v>
      </c>
      <c r="BX13" s="145">
        <v>5.5</v>
      </c>
      <c r="BY13" s="146">
        <f t="shared" si="4"/>
        <v>7.29</v>
      </c>
      <c r="BZ13" s="10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</row>
    <row r="14" ht="15.75" customHeight="1">
      <c r="A14" s="104">
        <v>4.0</v>
      </c>
      <c r="B14" s="105" t="str">
        <f>DATOS!C14</f>
        <v>CRUZ HERNÁNDEZ ALAN ABDIEL</v>
      </c>
      <c r="C14" s="106"/>
      <c r="D14" s="107">
        <v>10.0</v>
      </c>
      <c r="E14" s="108">
        <v>9.0</v>
      </c>
      <c r="F14" s="108">
        <v>9.0</v>
      </c>
      <c r="G14" s="108">
        <v>9.0</v>
      </c>
      <c r="H14" s="108">
        <v>9.0</v>
      </c>
      <c r="I14" s="108">
        <v>9.0</v>
      </c>
      <c r="J14" s="108">
        <v>7.0</v>
      </c>
      <c r="K14" s="108">
        <v>7.0</v>
      </c>
      <c r="L14" s="108">
        <v>7.0</v>
      </c>
      <c r="M14" s="108">
        <v>8.0</v>
      </c>
      <c r="N14" s="108">
        <v>9.0</v>
      </c>
      <c r="O14" s="109">
        <v>9.0</v>
      </c>
      <c r="P14" s="109">
        <v>9.0</v>
      </c>
      <c r="Q14" s="109">
        <v>9.0</v>
      </c>
      <c r="R14" s="109">
        <v>10.0</v>
      </c>
      <c r="S14" s="109">
        <v>10.0</v>
      </c>
      <c r="T14" s="109">
        <v>7.0</v>
      </c>
      <c r="U14" s="109">
        <v>7.0</v>
      </c>
      <c r="V14" s="109">
        <v>7.0</v>
      </c>
      <c r="W14" s="109">
        <v>8.0</v>
      </c>
      <c r="X14" s="110"/>
      <c r="Y14" s="110"/>
      <c r="Z14" s="110"/>
      <c r="AA14" s="110"/>
      <c r="AB14" s="110"/>
      <c r="AC14" s="110"/>
      <c r="AD14" s="110"/>
      <c r="AE14" s="110"/>
      <c r="AF14" s="110"/>
      <c r="AG14" s="111"/>
      <c r="AH14" s="112">
        <f t="shared" si="1"/>
        <v>8.45</v>
      </c>
      <c r="AI14" s="113">
        <v>8.0</v>
      </c>
      <c r="AJ14" s="114"/>
      <c r="AK14" s="115"/>
      <c r="AL14" s="115"/>
      <c r="AM14" s="114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15"/>
      <c r="BK14" s="115"/>
      <c r="BL14" s="116"/>
      <c r="BM14" s="117">
        <f t="shared" si="2"/>
        <v>8</v>
      </c>
      <c r="BN14" s="118">
        <v>8.0</v>
      </c>
      <c r="BO14" s="187">
        <v>9.0</v>
      </c>
      <c r="BP14" s="187">
        <v>10.0</v>
      </c>
      <c r="BQ14" s="119"/>
      <c r="BR14" s="119"/>
      <c r="BS14" s="119"/>
      <c r="BT14" s="120"/>
      <c r="BU14" s="121">
        <f t="shared" si="3"/>
        <v>9</v>
      </c>
      <c r="BV14" s="150">
        <v>8.0</v>
      </c>
      <c r="BW14" s="123">
        <v>8.0</v>
      </c>
      <c r="BX14" s="124">
        <v>8.5</v>
      </c>
      <c r="BY14" s="125">
        <f t="shared" si="4"/>
        <v>8.39</v>
      </c>
      <c r="BZ14" s="10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</row>
    <row r="15" ht="15.75" customHeight="1">
      <c r="A15" s="126">
        <v>5.0</v>
      </c>
      <c r="B15" s="127" t="str">
        <f>DATOS!C15</f>
        <v>DE LEON SALINAS VANESA MONSERRAT</v>
      </c>
      <c r="C15" s="106"/>
      <c r="D15" s="128">
        <v>10.0</v>
      </c>
      <c r="E15" s="129">
        <v>10.0</v>
      </c>
      <c r="F15" s="129">
        <v>10.0</v>
      </c>
      <c r="G15" s="129">
        <v>9.0</v>
      </c>
      <c r="H15" s="129">
        <v>8.0</v>
      </c>
      <c r="I15" s="129">
        <v>9.0</v>
      </c>
      <c r="J15" s="129">
        <v>9.0</v>
      </c>
      <c r="K15" s="129">
        <v>9.0</v>
      </c>
      <c r="L15" s="129">
        <v>7.0</v>
      </c>
      <c r="M15" s="129">
        <v>7.0</v>
      </c>
      <c r="N15" s="129">
        <v>7.0</v>
      </c>
      <c r="O15" s="130">
        <v>7.0</v>
      </c>
      <c r="P15" s="130">
        <v>7.0</v>
      </c>
      <c r="Q15" s="130">
        <v>7.0</v>
      </c>
      <c r="R15" s="130">
        <v>9.0</v>
      </c>
      <c r="S15" s="130">
        <v>9.0</v>
      </c>
      <c r="T15" s="130">
        <v>9.0</v>
      </c>
      <c r="U15" s="130">
        <v>9.0</v>
      </c>
      <c r="V15" s="130">
        <v>9.0</v>
      </c>
      <c r="W15" s="130">
        <v>9.0</v>
      </c>
      <c r="X15" s="131"/>
      <c r="Y15" s="131"/>
      <c r="Z15" s="131"/>
      <c r="AA15" s="131"/>
      <c r="AB15" s="131"/>
      <c r="AC15" s="131"/>
      <c r="AD15" s="131"/>
      <c r="AE15" s="131"/>
      <c r="AF15" s="131"/>
      <c r="AG15" s="132"/>
      <c r="AH15" s="133">
        <f t="shared" si="1"/>
        <v>8.5</v>
      </c>
      <c r="AI15" s="147">
        <v>10.0</v>
      </c>
      <c r="AJ15" s="136"/>
      <c r="AK15" s="136"/>
      <c r="AL15" s="136"/>
      <c r="AM15" s="135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7"/>
      <c r="BM15" s="138">
        <f t="shared" si="2"/>
        <v>10</v>
      </c>
      <c r="BN15" s="139">
        <v>8.0</v>
      </c>
      <c r="BO15" s="188">
        <v>9.0</v>
      </c>
      <c r="BP15" s="188">
        <v>10.0</v>
      </c>
      <c r="BQ15" s="140"/>
      <c r="BR15" s="140"/>
      <c r="BS15" s="140"/>
      <c r="BT15" s="141"/>
      <c r="BU15" s="142">
        <f t="shared" si="3"/>
        <v>9</v>
      </c>
      <c r="BV15" s="152">
        <v>9.0</v>
      </c>
      <c r="BW15" s="148">
        <v>9.0</v>
      </c>
      <c r="BX15" s="145">
        <v>5.5</v>
      </c>
      <c r="BY15" s="146">
        <f t="shared" si="4"/>
        <v>8.4</v>
      </c>
      <c r="BZ15" s="10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</row>
    <row r="16" ht="15.75" customHeight="1">
      <c r="A16" s="104">
        <v>6.0</v>
      </c>
      <c r="B16" s="105" t="str">
        <f>DATOS!C16</f>
        <v>DORIA GUERRA DAILY ALESSANDRA</v>
      </c>
      <c r="C16" s="106"/>
      <c r="D16" s="107">
        <v>10.0</v>
      </c>
      <c r="E16" s="108">
        <v>10.0</v>
      </c>
      <c r="F16" s="108">
        <v>10.0</v>
      </c>
      <c r="G16" s="108">
        <v>10.0</v>
      </c>
      <c r="H16" s="108">
        <v>10.0</v>
      </c>
      <c r="I16" s="108">
        <v>10.0</v>
      </c>
      <c r="J16" s="108">
        <v>10.0</v>
      </c>
      <c r="K16" s="108">
        <v>10.0</v>
      </c>
      <c r="L16" s="108">
        <v>10.0</v>
      </c>
      <c r="M16" s="108">
        <v>10.0</v>
      </c>
      <c r="N16" s="108">
        <v>10.0</v>
      </c>
      <c r="O16" s="109">
        <v>10.0</v>
      </c>
      <c r="P16" s="109">
        <v>10.0</v>
      </c>
      <c r="Q16" s="109">
        <v>10.0</v>
      </c>
      <c r="R16" s="109">
        <v>10.0</v>
      </c>
      <c r="S16" s="109">
        <v>10.0</v>
      </c>
      <c r="T16" s="109">
        <v>10.0</v>
      </c>
      <c r="U16" s="109">
        <v>10.0</v>
      </c>
      <c r="V16" s="109">
        <v>10.0</v>
      </c>
      <c r="W16" s="109">
        <v>10.0</v>
      </c>
      <c r="X16" s="110"/>
      <c r="Y16" s="110"/>
      <c r="Z16" s="110"/>
      <c r="AA16" s="110"/>
      <c r="AB16" s="110"/>
      <c r="AC16" s="110"/>
      <c r="AD16" s="110"/>
      <c r="AE16" s="110"/>
      <c r="AF16" s="110"/>
      <c r="AG16" s="111"/>
      <c r="AH16" s="112">
        <f t="shared" si="1"/>
        <v>10</v>
      </c>
      <c r="AI16" s="149">
        <v>10.0</v>
      </c>
      <c r="AJ16" s="115"/>
      <c r="AK16" s="114"/>
      <c r="AL16" s="114"/>
      <c r="AM16" s="114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5"/>
      <c r="BH16" s="115"/>
      <c r="BI16" s="115"/>
      <c r="BJ16" s="115"/>
      <c r="BK16" s="115"/>
      <c r="BL16" s="116"/>
      <c r="BM16" s="117">
        <f t="shared" si="2"/>
        <v>10</v>
      </c>
      <c r="BN16" s="118">
        <v>9.0</v>
      </c>
      <c r="BO16" s="187">
        <v>10.0</v>
      </c>
      <c r="BP16" s="187">
        <v>10.0</v>
      </c>
      <c r="BQ16" s="119"/>
      <c r="BR16" s="119"/>
      <c r="BS16" s="119"/>
      <c r="BT16" s="120"/>
      <c r="BU16" s="121">
        <f t="shared" si="3"/>
        <v>9.666666667</v>
      </c>
      <c r="BV16" s="150">
        <v>10.0</v>
      </c>
      <c r="BW16" s="123">
        <v>10.0</v>
      </c>
      <c r="BX16" s="124">
        <v>9.5</v>
      </c>
      <c r="BY16" s="125">
        <f t="shared" si="4"/>
        <v>9.833333333</v>
      </c>
      <c r="BZ16" s="151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</row>
    <row r="17" ht="15.75" customHeight="1">
      <c r="A17" s="126">
        <v>7.0</v>
      </c>
      <c r="B17" s="127" t="str">
        <f>DATOS!C17</f>
        <v>ELIZONDO ROMERO MONTSERRAT GUADALUPE</v>
      </c>
      <c r="C17" s="106"/>
      <c r="D17" s="128">
        <v>10.0</v>
      </c>
      <c r="E17" s="129">
        <v>10.0</v>
      </c>
      <c r="F17" s="129">
        <v>10.0</v>
      </c>
      <c r="G17" s="129">
        <v>8.0</v>
      </c>
      <c r="H17" s="129">
        <v>9.0</v>
      </c>
      <c r="I17" s="129">
        <v>9.0</v>
      </c>
      <c r="J17" s="129">
        <v>9.0</v>
      </c>
      <c r="K17" s="129">
        <v>7.0</v>
      </c>
      <c r="L17" s="129">
        <v>9.0</v>
      </c>
      <c r="M17" s="129">
        <v>10.0</v>
      </c>
      <c r="N17" s="129">
        <v>8.0</v>
      </c>
      <c r="O17" s="130">
        <v>10.0</v>
      </c>
      <c r="P17" s="130">
        <v>10.0</v>
      </c>
      <c r="Q17" s="130">
        <v>7.0</v>
      </c>
      <c r="R17" s="130">
        <v>9.0</v>
      </c>
      <c r="S17" s="130">
        <v>9.0</v>
      </c>
      <c r="T17" s="130">
        <v>9.0</v>
      </c>
      <c r="U17" s="130">
        <v>9.0</v>
      </c>
      <c r="V17" s="130">
        <v>10.0</v>
      </c>
      <c r="W17" s="130">
        <v>8.0</v>
      </c>
      <c r="X17" s="131"/>
      <c r="Y17" s="131"/>
      <c r="Z17" s="131"/>
      <c r="AA17" s="131"/>
      <c r="AB17" s="131"/>
      <c r="AC17" s="131"/>
      <c r="AD17" s="131"/>
      <c r="AE17" s="131"/>
      <c r="AF17" s="131"/>
      <c r="AG17" s="132"/>
      <c r="AH17" s="133">
        <f t="shared" si="1"/>
        <v>9</v>
      </c>
      <c r="AI17" s="147">
        <v>9.0</v>
      </c>
      <c r="AJ17" s="136"/>
      <c r="AK17" s="135"/>
      <c r="AL17" s="135"/>
      <c r="AM17" s="135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7"/>
      <c r="BM17" s="138">
        <f t="shared" si="2"/>
        <v>9</v>
      </c>
      <c r="BN17" s="139">
        <v>8.0</v>
      </c>
      <c r="BO17" s="188">
        <v>9.0</v>
      </c>
      <c r="BP17" s="188">
        <v>10.0</v>
      </c>
      <c r="BQ17" s="140"/>
      <c r="BR17" s="140"/>
      <c r="BS17" s="140"/>
      <c r="BT17" s="141"/>
      <c r="BU17" s="142">
        <f t="shared" si="3"/>
        <v>9</v>
      </c>
      <c r="BV17" s="152">
        <v>9.0</v>
      </c>
      <c r="BW17" s="148">
        <v>9.0</v>
      </c>
      <c r="BX17" s="145">
        <v>9.0</v>
      </c>
      <c r="BY17" s="146">
        <f t="shared" si="4"/>
        <v>9</v>
      </c>
      <c r="BZ17" s="151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</row>
    <row r="18" ht="15.75" customHeight="1">
      <c r="A18" s="104">
        <v>8.0</v>
      </c>
      <c r="B18" s="105" t="str">
        <f>DATOS!C18</f>
        <v>GARCIA PINEDA IKER ALEJANDRO</v>
      </c>
      <c r="C18" s="106"/>
      <c r="D18" s="107">
        <v>10.0</v>
      </c>
      <c r="E18" s="108">
        <v>10.0</v>
      </c>
      <c r="F18" s="108">
        <v>9.0</v>
      </c>
      <c r="G18" s="108">
        <v>9.0</v>
      </c>
      <c r="H18" s="108">
        <v>8.0</v>
      </c>
      <c r="I18" s="108">
        <v>7.0</v>
      </c>
      <c r="J18" s="108">
        <v>8.0</v>
      </c>
      <c r="K18" s="108">
        <v>8.0</v>
      </c>
      <c r="L18" s="108">
        <v>8.0</v>
      </c>
      <c r="M18" s="108">
        <v>9.0</v>
      </c>
      <c r="N18" s="108">
        <v>9.0</v>
      </c>
      <c r="O18" s="109">
        <v>9.0</v>
      </c>
      <c r="P18" s="109">
        <v>7.0</v>
      </c>
      <c r="Q18" s="109">
        <v>9.0</v>
      </c>
      <c r="R18" s="109">
        <v>9.0</v>
      </c>
      <c r="S18" s="109">
        <v>8.0</v>
      </c>
      <c r="T18" s="109">
        <v>8.0</v>
      </c>
      <c r="U18" s="109">
        <v>9.0</v>
      </c>
      <c r="V18" s="109">
        <v>7.0</v>
      </c>
      <c r="W18" s="109">
        <v>8.0</v>
      </c>
      <c r="X18" s="110"/>
      <c r="Y18" s="110"/>
      <c r="Z18" s="110"/>
      <c r="AA18" s="110"/>
      <c r="AB18" s="110"/>
      <c r="AC18" s="110"/>
      <c r="AD18" s="110"/>
      <c r="AE18" s="110"/>
      <c r="AF18" s="110"/>
      <c r="AG18" s="111"/>
      <c r="AH18" s="112">
        <f t="shared" si="1"/>
        <v>8.45</v>
      </c>
      <c r="AI18" s="149">
        <v>10.0</v>
      </c>
      <c r="AJ18" s="114"/>
      <c r="AK18" s="114"/>
      <c r="AL18" s="114"/>
      <c r="AM18" s="114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15"/>
      <c r="BK18" s="115"/>
      <c r="BL18" s="116"/>
      <c r="BM18" s="117">
        <f t="shared" si="2"/>
        <v>10</v>
      </c>
      <c r="BN18" s="118">
        <v>7.0</v>
      </c>
      <c r="BO18" s="187">
        <v>8.0</v>
      </c>
      <c r="BP18" s="187">
        <v>9.0</v>
      </c>
      <c r="BQ18" s="119"/>
      <c r="BR18" s="119"/>
      <c r="BS18" s="119"/>
      <c r="BT18" s="120"/>
      <c r="BU18" s="121">
        <f t="shared" si="3"/>
        <v>8</v>
      </c>
      <c r="BV18" s="150">
        <v>9.0</v>
      </c>
      <c r="BW18" s="123">
        <v>9.0</v>
      </c>
      <c r="BX18" s="124">
        <v>9.5</v>
      </c>
      <c r="BY18" s="125">
        <f t="shared" si="4"/>
        <v>8.99</v>
      </c>
      <c r="BZ18" s="10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</row>
    <row r="19" ht="15.75" customHeight="1">
      <c r="A19" s="126">
        <v>9.0</v>
      </c>
      <c r="B19" s="127" t="str">
        <f>DATOS!C19</f>
        <v>GONZÁLEZ HERNÁNDEZ LUIS Á_x0081_NGEL</v>
      </c>
      <c r="C19" s="106"/>
      <c r="D19" s="128">
        <v>10.0</v>
      </c>
      <c r="E19" s="129">
        <v>10.0</v>
      </c>
      <c r="F19" s="129">
        <v>9.0</v>
      </c>
      <c r="G19" s="129">
        <v>8.0</v>
      </c>
      <c r="H19" s="129">
        <v>8.0</v>
      </c>
      <c r="I19" s="129">
        <v>8.0</v>
      </c>
      <c r="J19" s="129">
        <v>7.0</v>
      </c>
      <c r="K19" s="129">
        <v>7.0</v>
      </c>
      <c r="L19" s="129">
        <v>7.0</v>
      </c>
      <c r="M19" s="129">
        <v>7.0</v>
      </c>
      <c r="N19" s="129">
        <v>7.0</v>
      </c>
      <c r="O19" s="130">
        <v>8.0</v>
      </c>
      <c r="P19" s="130">
        <v>9.0</v>
      </c>
      <c r="Q19" s="130">
        <v>10.0</v>
      </c>
      <c r="R19" s="130">
        <v>9.0</v>
      </c>
      <c r="S19" s="130">
        <v>9.0</v>
      </c>
      <c r="T19" s="130">
        <v>10.0</v>
      </c>
      <c r="U19" s="130">
        <v>10.0</v>
      </c>
      <c r="V19" s="130">
        <v>9.0</v>
      </c>
      <c r="W19" s="130">
        <v>8.0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133">
        <f t="shared" si="1"/>
        <v>8.5</v>
      </c>
      <c r="AI19" s="134">
        <v>7.0</v>
      </c>
      <c r="AJ19" s="135"/>
      <c r="AK19" s="135"/>
      <c r="AL19" s="135"/>
      <c r="AM19" s="135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7"/>
      <c r="BM19" s="138">
        <f t="shared" si="2"/>
        <v>7</v>
      </c>
      <c r="BN19" s="139">
        <v>7.0</v>
      </c>
      <c r="BO19" s="188">
        <v>8.0</v>
      </c>
      <c r="BP19" s="188">
        <v>9.0</v>
      </c>
      <c r="BQ19" s="140"/>
      <c r="BR19" s="140"/>
      <c r="BS19" s="140"/>
      <c r="BT19" s="141"/>
      <c r="BU19" s="142">
        <f t="shared" si="3"/>
        <v>8</v>
      </c>
      <c r="BV19" s="152">
        <v>9.0</v>
      </c>
      <c r="BW19" s="148">
        <v>9.0</v>
      </c>
      <c r="BX19" s="145">
        <v>9.0</v>
      </c>
      <c r="BY19" s="146">
        <f t="shared" si="4"/>
        <v>8.3</v>
      </c>
      <c r="BZ19" s="10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</row>
    <row r="20" ht="15.75" customHeight="1">
      <c r="A20" s="104">
        <v>10.0</v>
      </c>
      <c r="B20" s="105" t="str">
        <f>DATOS!C20</f>
        <v>GRIMALDO PUENTE  SAMANTHA SARAHI</v>
      </c>
      <c r="C20" s="106"/>
      <c r="D20" s="107">
        <v>10.0</v>
      </c>
      <c r="E20" s="108">
        <v>10.0</v>
      </c>
      <c r="F20" s="108">
        <v>10.0</v>
      </c>
      <c r="G20" s="108">
        <v>10.0</v>
      </c>
      <c r="H20" s="108">
        <v>10.0</v>
      </c>
      <c r="I20" s="108">
        <v>10.0</v>
      </c>
      <c r="J20" s="108">
        <v>10.0</v>
      </c>
      <c r="K20" s="108">
        <v>9.0</v>
      </c>
      <c r="L20" s="108">
        <v>9.0</v>
      </c>
      <c r="M20" s="108">
        <v>9.0</v>
      </c>
      <c r="N20" s="108">
        <v>9.0</v>
      </c>
      <c r="O20" s="109">
        <v>10.0</v>
      </c>
      <c r="P20" s="109">
        <v>9.0</v>
      </c>
      <c r="Q20" s="109">
        <v>9.0</v>
      </c>
      <c r="R20" s="109">
        <v>9.0</v>
      </c>
      <c r="S20" s="109">
        <v>10.0</v>
      </c>
      <c r="T20" s="109">
        <v>10.0</v>
      </c>
      <c r="U20" s="109">
        <v>10.0</v>
      </c>
      <c r="V20" s="109">
        <v>10.0</v>
      </c>
      <c r="W20" s="109">
        <v>10.0</v>
      </c>
      <c r="X20" s="110"/>
      <c r="Y20" s="110"/>
      <c r="Z20" s="110"/>
      <c r="AA20" s="110"/>
      <c r="AB20" s="110"/>
      <c r="AC20" s="110"/>
      <c r="AD20" s="110"/>
      <c r="AE20" s="110"/>
      <c r="AF20" s="110"/>
      <c r="AG20" s="111"/>
      <c r="AH20" s="112">
        <f t="shared" si="1"/>
        <v>9.65</v>
      </c>
      <c r="AI20" s="113">
        <v>9.0</v>
      </c>
      <c r="AJ20" s="114"/>
      <c r="AK20" s="114"/>
      <c r="AL20" s="114"/>
      <c r="AM20" s="114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15"/>
      <c r="BK20" s="115"/>
      <c r="BL20" s="116"/>
      <c r="BM20" s="117">
        <f t="shared" si="2"/>
        <v>9</v>
      </c>
      <c r="BN20" s="118">
        <v>8.0</v>
      </c>
      <c r="BO20" s="187">
        <v>9.0</v>
      </c>
      <c r="BP20" s="187">
        <v>10.0</v>
      </c>
      <c r="BQ20" s="119"/>
      <c r="BR20" s="119"/>
      <c r="BS20" s="119"/>
      <c r="BT20" s="120"/>
      <c r="BU20" s="121">
        <f t="shared" si="3"/>
        <v>9</v>
      </c>
      <c r="BV20" s="150">
        <v>10.0</v>
      </c>
      <c r="BW20" s="123">
        <v>10.0</v>
      </c>
      <c r="BX20" s="124">
        <v>9.5</v>
      </c>
      <c r="BY20" s="125">
        <f t="shared" si="4"/>
        <v>9.43</v>
      </c>
      <c r="BZ20" s="10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</row>
    <row r="21" ht="15.75" customHeight="1">
      <c r="A21" s="126">
        <v>11.0</v>
      </c>
      <c r="B21" s="127" t="str">
        <f>DATOS!C21</f>
        <v>GUERRERO RODRIGUEZ KEYSHA CECILIA</v>
      </c>
      <c r="C21" s="106"/>
      <c r="D21" s="128">
        <v>8.0</v>
      </c>
      <c r="E21" s="129">
        <v>7.0</v>
      </c>
      <c r="F21" s="129">
        <v>7.0</v>
      </c>
      <c r="G21" s="129">
        <v>6.0</v>
      </c>
      <c r="H21" s="129">
        <v>6.0</v>
      </c>
      <c r="I21" s="129">
        <v>6.0</v>
      </c>
      <c r="J21" s="129">
        <v>6.0</v>
      </c>
      <c r="K21" s="129">
        <v>6.0</v>
      </c>
      <c r="L21" s="129">
        <v>6.0</v>
      </c>
      <c r="M21" s="129">
        <v>8.0</v>
      </c>
      <c r="N21" s="129">
        <v>7.0</v>
      </c>
      <c r="O21" s="130">
        <v>8.0</v>
      </c>
      <c r="P21" s="130">
        <v>7.0</v>
      </c>
      <c r="Q21" s="130">
        <v>7.0</v>
      </c>
      <c r="R21" s="130">
        <v>7.0</v>
      </c>
      <c r="S21" s="130">
        <v>7.0</v>
      </c>
      <c r="T21" s="130">
        <v>7.0</v>
      </c>
      <c r="U21" s="130">
        <v>7.0</v>
      </c>
      <c r="V21" s="130">
        <v>8.0</v>
      </c>
      <c r="W21" s="130">
        <v>8.0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133">
        <f t="shared" si="1"/>
        <v>6.95</v>
      </c>
      <c r="AI21" s="134">
        <v>6.0</v>
      </c>
      <c r="AJ21" s="135"/>
      <c r="AK21" s="135"/>
      <c r="AL21" s="135"/>
      <c r="AM21" s="135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7"/>
      <c r="BM21" s="138">
        <f t="shared" si="2"/>
        <v>6</v>
      </c>
      <c r="BN21" s="139">
        <v>6.0</v>
      </c>
      <c r="BO21" s="188">
        <v>7.0</v>
      </c>
      <c r="BP21" s="188">
        <v>8.0</v>
      </c>
      <c r="BQ21" s="140"/>
      <c r="BR21" s="140"/>
      <c r="BS21" s="140"/>
      <c r="BT21" s="141"/>
      <c r="BU21" s="142">
        <f t="shared" si="3"/>
        <v>7</v>
      </c>
      <c r="BV21" s="152">
        <v>6.0</v>
      </c>
      <c r="BW21" s="148">
        <v>6.0</v>
      </c>
      <c r="BX21" s="145">
        <v>3.0</v>
      </c>
      <c r="BY21" s="146">
        <f t="shared" si="4"/>
        <v>5.79</v>
      </c>
      <c r="BZ21" s="151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</row>
    <row r="22" ht="15.75" customHeight="1">
      <c r="A22" s="104">
        <v>12.0</v>
      </c>
      <c r="B22" s="105" t="str">
        <f>DATOS!C22</f>
        <v>HERNANDEZ CRUZ VIRIDIANA MARIE</v>
      </c>
      <c r="C22" s="106"/>
      <c r="D22" s="107">
        <v>10.0</v>
      </c>
      <c r="E22" s="108">
        <v>10.0</v>
      </c>
      <c r="F22" s="108">
        <v>9.0</v>
      </c>
      <c r="G22" s="108">
        <v>9.0</v>
      </c>
      <c r="H22" s="108">
        <v>9.0</v>
      </c>
      <c r="I22" s="108">
        <v>9.0</v>
      </c>
      <c r="J22" s="108">
        <v>8.0</v>
      </c>
      <c r="K22" s="108">
        <v>9.0</v>
      </c>
      <c r="L22" s="108">
        <v>9.0</v>
      </c>
      <c r="M22" s="108">
        <v>9.0</v>
      </c>
      <c r="N22" s="108">
        <v>9.0</v>
      </c>
      <c r="O22" s="109">
        <v>9.0</v>
      </c>
      <c r="P22" s="109">
        <v>10.0</v>
      </c>
      <c r="Q22" s="109">
        <v>10.0</v>
      </c>
      <c r="R22" s="109">
        <v>10.0</v>
      </c>
      <c r="S22" s="109">
        <v>10.0</v>
      </c>
      <c r="T22" s="109">
        <v>10.0</v>
      </c>
      <c r="U22" s="109">
        <v>10.0</v>
      </c>
      <c r="V22" s="109">
        <v>10.0</v>
      </c>
      <c r="W22" s="109">
        <v>10.0</v>
      </c>
      <c r="X22" s="110"/>
      <c r="Y22" s="110"/>
      <c r="Z22" s="110"/>
      <c r="AA22" s="110"/>
      <c r="AB22" s="110"/>
      <c r="AC22" s="110"/>
      <c r="AD22" s="110"/>
      <c r="AE22" s="110"/>
      <c r="AF22" s="110"/>
      <c r="AG22" s="111"/>
      <c r="AH22" s="112">
        <f t="shared" si="1"/>
        <v>9.45</v>
      </c>
      <c r="AI22" s="149">
        <v>10.0</v>
      </c>
      <c r="AJ22" s="114"/>
      <c r="AK22" s="114"/>
      <c r="AL22" s="114"/>
      <c r="AM22" s="114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6"/>
      <c r="BM22" s="117">
        <f t="shared" si="2"/>
        <v>10</v>
      </c>
      <c r="BN22" s="118">
        <v>8.0</v>
      </c>
      <c r="BO22" s="187">
        <v>9.0</v>
      </c>
      <c r="BP22" s="187">
        <v>10.0</v>
      </c>
      <c r="BQ22" s="119"/>
      <c r="BR22" s="119"/>
      <c r="BS22" s="119"/>
      <c r="BT22" s="120"/>
      <c r="BU22" s="121">
        <f t="shared" si="3"/>
        <v>9</v>
      </c>
      <c r="BV22" s="150">
        <v>9.0</v>
      </c>
      <c r="BW22" s="123">
        <v>9.0</v>
      </c>
      <c r="BX22" s="124">
        <v>9.0</v>
      </c>
      <c r="BY22" s="125">
        <f t="shared" si="4"/>
        <v>9.29</v>
      </c>
      <c r="BZ22" s="10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</row>
    <row r="23" ht="15.75" customHeight="1">
      <c r="A23" s="126">
        <v>13.0</v>
      </c>
      <c r="B23" s="127" t="str">
        <f>DATOS!C23</f>
        <v>HERNANDEZ RAMIREZ WALTER JONAS</v>
      </c>
      <c r="C23" s="106"/>
      <c r="D23" s="128">
        <v>6.0</v>
      </c>
      <c r="E23" s="129">
        <v>6.0</v>
      </c>
      <c r="F23" s="129">
        <v>6.0</v>
      </c>
      <c r="G23" s="129">
        <v>6.0</v>
      </c>
      <c r="H23" s="129">
        <v>6.0</v>
      </c>
      <c r="I23" s="129">
        <v>6.0</v>
      </c>
      <c r="J23" s="129">
        <v>6.0</v>
      </c>
      <c r="K23" s="129">
        <v>6.0</v>
      </c>
      <c r="L23" s="129">
        <v>6.0</v>
      </c>
      <c r="M23" s="129">
        <v>6.0</v>
      </c>
      <c r="N23" s="129">
        <v>6.0</v>
      </c>
      <c r="O23" s="130">
        <v>6.0</v>
      </c>
      <c r="P23" s="130">
        <v>6.0</v>
      </c>
      <c r="Q23" s="130">
        <v>6.0</v>
      </c>
      <c r="R23" s="130">
        <v>6.0</v>
      </c>
      <c r="S23" s="130">
        <v>6.0</v>
      </c>
      <c r="T23" s="130">
        <v>6.0</v>
      </c>
      <c r="U23" s="130">
        <v>6.0</v>
      </c>
      <c r="V23" s="130">
        <v>6.0</v>
      </c>
      <c r="W23" s="130">
        <v>6.0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133">
        <f t="shared" si="1"/>
        <v>6</v>
      </c>
      <c r="AI23" s="134">
        <v>0.0</v>
      </c>
      <c r="AJ23" s="135"/>
      <c r="AK23" s="135"/>
      <c r="AL23" s="135"/>
      <c r="AM23" s="135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7"/>
      <c r="BM23" s="138">
        <f t="shared" si="2"/>
        <v>0</v>
      </c>
      <c r="BN23" s="139">
        <v>6.0</v>
      </c>
      <c r="BO23" s="188">
        <v>7.0</v>
      </c>
      <c r="BP23" s="188">
        <v>8.0</v>
      </c>
      <c r="BQ23" s="140"/>
      <c r="BR23" s="140"/>
      <c r="BS23" s="140"/>
      <c r="BT23" s="141"/>
      <c r="BU23" s="142">
        <f t="shared" si="3"/>
        <v>7</v>
      </c>
      <c r="BV23" s="152">
        <v>5.0</v>
      </c>
      <c r="BW23" s="148">
        <v>5.0</v>
      </c>
      <c r="BX23" s="145">
        <v>10.0</v>
      </c>
      <c r="BY23" s="146">
        <f t="shared" si="4"/>
        <v>5.6</v>
      </c>
      <c r="BZ23" s="10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</row>
    <row r="24" ht="15.75" customHeight="1">
      <c r="A24" s="104">
        <v>14.0</v>
      </c>
      <c r="B24" s="105" t="str">
        <f>DATOS!C24</f>
        <v>HERNÁNDEZ SALAZAR DIEGO ALDAIR</v>
      </c>
      <c r="C24" s="106"/>
      <c r="D24" s="107">
        <v>7.0</v>
      </c>
      <c r="E24" s="108">
        <v>7.0</v>
      </c>
      <c r="F24" s="108">
        <v>6.0</v>
      </c>
      <c r="G24" s="108">
        <v>6.0</v>
      </c>
      <c r="H24" s="108">
        <v>6.0</v>
      </c>
      <c r="I24" s="108">
        <v>6.0</v>
      </c>
      <c r="J24" s="108">
        <v>6.0</v>
      </c>
      <c r="K24" s="108">
        <v>6.0</v>
      </c>
      <c r="L24" s="108">
        <v>6.0</v>
      </c>
      <c r="M24" s="108">
        <v>6.0</v>
      </c>
      <c r="N24" s="108">
        <v>7.0</v>
      </c>
      <c r="O24" s="109">
        <v>7.0</v>
      </c>
      <c r="P24" s="109">
        <v>7.0</v>
      </c>
      <c r="Q24" s="109">
        <v>7.0</v>
      </c>
      <c r="R24" s="109">
        <v>7.0</v>
      </c>
      <c r="S24" s="109">
        <v>6.0</v>
      </c>
      <c r="T24" s="109">
        <v>6.0</v>
      </c>
      <c r="U24" s="109">
        <v>6.0</v>
      </c>
      <c r="V24" s="109">
        <v>6.0</v>
      </c>
      <c r="W24" s="109">
        <v>6.0</v>
      </c>
      <c r="X24" s="110"/>
      <c r="Y24" s="110"/>
      <c r="Z24" s="110"/>
      <c r="AA24" s="110"/>
      <c r="AB24" s="110"/>
      <c r="AC24" s="110"/>
      <c r="AD24" s="110"/>
      <c r="AE24" s="110"/>
      <c r="AF24" s="110"/>
      <c r="AG24" s="111"/>
      <c r="AH24" s="112">
        <f t="shared" si="1"/>
        <v>6.35</v>
      </c>
      <c r="AI24" s="113">
        <v>5.0</v>
      </c>
      <c r="AJ24" s="114"/>
      <c r="AK24" s="114"/>
      <c r="AL24" s="114"/>
      <c r="AM24" s="114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6"/>
      <c r="BM24" s="117">
        <f t="shared" si="2"/>
        <v>5</v>
      </c>
      <c r="BN24" s="118">
        <v>6.0</v>
      </c>
      <c r="BO24" s="187">
        <v>7.0</v>
      </c>
      <c r="BP24" s="187">
        <v>8.0</v>
      </c>
      <c r="BQ24" s="119"/>
      <c r="BR24" s="119"/>
      <c r="BS24" s="119"/>
      <c r="BT24" s="120"/>
      <c r="BU24" s="121">
        <f t="shared" si="3"/>
        <v>7</v>
      </c>
      <c r="BV24" s="150">
        <v>7.0</v>
      </c>
      <c r="BW24" s="123">
        <v>7.0</v>
      </c>
      <c r="BX24" s="124">
        <v>4.0</v>
      </c>
      <c r="BY24" s="125">
        <f t="shared" si="4"/>
        <v>5.87</v>
      </c>
      <c r="BZ24" s="10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</row>
    <row r="25" ht="15.75" customHeight="1">
      <c r="A25" s="126">
        <v>15.0</v>
      </c>
      <c r="B25" s="127" t="str">
        <f>DATOS!C25</f>
        <v>JIMENEZ SALAZAR WALTHER DANIEL</v>
      </c>
      <c r="C25" s="106"/>
      <c r="D25" s="128">
        <v>9.0</v>
      </c>
      <c r="E25" s="129">
        <v>8.0</v>
      </c>
      <c r="F25" s="129">
        <v>8.0</v>
      </c>
      <c r="G25" s="129">
        <v>7.0</v>
      </c>
      <c r="H25" s="129">
        <v>7.0</v>
      </c>
      <c r="I25" s="129">
        <v>7.0</v>
      </c>
      <c r="J25" s="129">
        <v>7.0</v>
      </c>
      <c r="K25" s="129">
        <v>8.0</v>
      </c>
      <c r="L25" s="129">
        <v>7.0</v>
      </c>
      <c r="M25" s="129">
        <v>8.0</v>
      </c>
      <c r="N25" s="129">
        <v>7.0</v>
      </c>
      <c r="O25" s="130">
        <v>7.0</v>
      </c>
      <c r="P25" s="130">
        <v>7.0</v>
      </c>
      <c r="Q25" s="130">
        <v>7.0</v>
      </c>
      <c r="R25" s="130">
        <v>8.0</v>
      </c>
      <c r="S25" s="130">
        <v>8.0</v>
      </c>
      <c r="T25" s="130">
        <v>7.0</v>
      </c>
      <c r="U25" s="130">
        <v>7.0</v>
      </c>
      <c r="V25" s="130">
        <v>7.0</v>
      </c>
      <c r="W25" s="130">
        <v>9.0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133">
        <f t="shared" si="1"/>
        <v>7.5</v>
      </c>
      <c r="AI25" s="134">
        <v>8.0</v>
      </c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7"/>
      <c r="BM25" s="138">
        <f t="shared" si="2"/>
        <v>8</v>
      </c>
      <c r="BN25" s="139">
        <v>7.0</v>
      </c>
      <c r="BO25" s="188">
        <v>8.0</v>
      </c>
      <c r="BP25" s="188">
        <v>9.0</v>
      </c>
      <c r="BQ25" s="140"/>
      <c r="BR25" s="140"/>
      <c r="BS25" s="140"/>
      <c r="BT25" s="141"/>
      <c r="BU25" s="142">
        <f t="shared" si="3"/>
        <v>8</v>
      </c>
      <c r="BV25" s="152">
        <v>8.0</v>
      </c>
      <c r="BW25" s="148">
        <v>8.0</v>
      </c>
      <c r="BX25" s="145">
        <v>9.5</v>
      </c>
      <c r="BY25" s="146">
        <f t="shared" si="4"/>
        <v>8.2</v>
      </c>
      <c r="BZ25" s="10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</row>
    <row r="26" ht="15.75" customHeight="1">
      <c r="A26" s="104">
        <v>16.0</v>
      </c>
      <c r="B26" s="105" t="str">
        <f>DATOS!C26</f>
        <v>MATA MONTES YAEL</v>
      </c>
      <c r="C26" s="106"/>
      <c r="D26" s="107">
        <v>7.0</v>
      </c>
      <c r="E26" s="108">
        <v>7.0</v>
      </c>
      <c r="F26" s="108">
        <v>7.0</v>
      </c>
      <c r="G26" s="108">
        <v>7.0</v>
      </c>
      <c r="H26" s="108">
        <v>7.0</v>
      </c>
      <c r="I26" s="108">
        <v>7.0</v>
      </c>
      <c r="J26" s="108">
        <v>8.0</v>
      </c>
      <c r="K26" s="108">
        <v>8.0</v>
      </c>
      <c r="L26" s="108">
        <v>8.0</v>
      </c>
      <c r="M26" s="108">
        <v>7.0</v>
      </c>
      <c r="N26" s="108">
        <v>6.0</v>
      </c>
      <c r="O26" s="109">
        <v>6.0</v>
      </c>
      <c r="P26" s="109">
        <v>7.0</v>
      </c>
      <c r="Q26" s="109">
        <v>7.0</v>
      </c>
      <c r="R26" s="109">
        <v>7.0</v>
      </c>
      <c r="S26" s="109">
        <v>7.0</v>
      </c>
      <c r="T26" s="109">
        <v>7.0</v>
      </c>
      <c r="U26" s="109">
        <v>7.0</v>
      </c>
      <c r="V26" s="109">
        <v>7.0</v>
      </c>
      <c r="W26" s="109">
        <v>7.0</v>
      </c>
      <c r="X26" s="110"/>
      <c r="Y26" s="110"/>
      <c r="Z26" s="110"/>
      <c r="AA26" s="110"/>
      <c r="AB26" s="110"/>
      <c r="AC26" s="110"/>
      <c r="AD26" s="110"/>
      <c r="AE26" s="110"/>
      <c r="AF26" s="110"/>
      <c r="AG26" s="111"/>
      <c r="AH26" s="112">
        <f t="shared" si="1"/>
        <v>7.05</v>
      </c>
      <c r="AI26" s="113">
        <v>7.0</v>
      </c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6"/>
      <c r="BM26" s="117">
        <f t="shared" si="2"/>
        <v>7</v>
      </c>
      <c r="BN26" s="118">
        <v>6.0</v>
      </c>
      <c r="BO26" s="187">
        <v>7.0</v>
      </c>
      <c r="BP26" s="187">
        <v>8.0</v>
      </c>
      <c r="BQ26" s="119"/>
      <c r="BR26" s="119"/>
      <c r="BS26" s="119"/>
      <c r="BT26" s="120"/>
      <c r="BU26" s="121">
        <f t="shared" si="3"/>
        <v>7</v>
      </c>
      <c r="BV26" s="150">
        <v>7.0</v>
      </c>
      <c r="BW26" s="123">
        <v>7.0</v>
      </c>
      <c r="BX26" s="124">
        <v>8.5</v>
      </c>
      <c r="BY26" s="125">
        <f t="shared" si="4"/>
        <v>7.31</v>
      </c>
      <c r="BZ26" s="151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</row>
    <row r="27" ht="15.75" customHeight="1">
      <c r="A27" s="126">
        <v>17.0</v>
      </c>
      <c r="B27" s="127" t="str">
        <f>DATOS!C27</f>
        <v>MEZA TURRUBIATES BRITANY YAHIRALIZ</v>
      </c>
      <c r="C27" s="106"/>
      <c r="D27" s="128">
        <v>10.0</v>
      </c>
      <c r="E27" s="129">
        <v>10.0</v>
      </c>
      <c r="F27" s="129">
        <v>10.0</v>
      </c>
      <c r="G27" s="129">
        <v>10.0</v>
      </c>
      <c r="H27" s="129">
        <v>9.0</v>
      </c>
      <c r="I27" s="129">
        <v>9.0</v>
      </c>
      <c r="J27" s="129">
        <v>9.0</v>
      </c>
      <c r="K27" s="129">
        <v>9.0</v>
      </c>
      <c r="L27" s="129">
        <v>10.0</v>
      </c>
      <c r="M27" s="129">
        <v>10.0</v>
      </c>
      <c r="N27" s="129">
        <v>10.0</v>
      </c>
      <c r="O27" s="130">
        <v>10.0</v>
      </c>
      <c r="P27" s="130">
        <v>10.0</v>
      </c>
      <c r="Q27" s="130">
        <v>9.0</v>
      </c>
      <c r="R27" s="130">
        <v>10.0</v>
      </c>
      <c r="S27" s="130">
        <v>9.0</v>
      </c>
      <c r="T27" s="130">
        <v>9.0</v>
      </c>
      <c r="U27" s="130">
        <v>9.0</v>
      </c>
      <c r="V27" s="130">
        <v>10.0</v>
      </c>
      <c r="W27" s="130">
        <v>10.0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3">
        <f t="shared" si="1"/>
        <v>9.6</v>
      </c>
      <c r="AI27" s="134">
        <v>8.0</v>
      </c>
      <c r="AJ27" s="135"/>
      <c r="AK27" s="135"/>
      <c r="AL27" s="135"/>
      <c r="AM27" s="135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7"/>
      <c r="BM27" s="138">
        <f t="shared" si="2"/>
        <v>8</v>
      </c>
      <c r="BN27" s="139">
        <v>8.0</v>
      </c>
      <c r="BO27" s="188">
        <v>9.0</v>
      </c>
      <c r="BP27" s="188">
        <v>10.0</v>
      </c>
      <c r="BQ27" s="140"/>
      <c r="BR27" s="140"/>
      <c r="BS27" s="140"/>
      <c r="BT27" s="141"/>
      <c r="BU27" s="142">
        <f t="shared" si="3"/>
        <v>9</v>
      </c>
      <c r="BV27" s="152">
        <v>10.0</v>
      </c>
      <c r="BW27" s="148">
        <v>10.0</v>
      </c>
      <c r="BX27" s="145">
        <v>8.5</v>
      </c>
      <c r="BY27" s="146">
        <f t="shared" si="4"/>
        <v>9.02</v>
      </c>
      <c r="BZ27" s="10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</row>
    <row r="28" ht="15.75" customHeight="1">
      <c r="A28" s="104">
        <v>18.0</v>
      </c>
      <c r="B28" s="105" t="str">
        <f>DATOS!C28</f>
        <v>PEÑA MEDELLÍN CORAL ANJURY</v>
      </c>
      <c r="C28" s="106"/>
      <c r="D28" s="107">
        <v>10.0</v>
      </c>
      <c r="E28" s="108">
        <v>10.0</v>
      </c>
      <c r="F28" s="108">
        <v>7.0</v>
      </c>
      <c r="G28" s="108">
        <v>7.0</v>
      </c>
      <c r="H28" s="108">
        <v>6.0</v>
      </c>
      <c r="I28" s="108">
        <v>6.0</v>
      </c>
      <c r="J28" s="108">
        <v>6.0</v>
      </c>
      <c r="K28" s="108">
        <v>6.0</v>
      </c>
      <c r="L28" s="108">
        <v>7.0</v>
      </c>
      <c r="M28" s="108"/>
      <c r="N28" s="108"/>
      <c r="O28" s="109"/>
      <c r="P28" s="109"/>
      <c r="Q28" s="109"/>
      <c r="R28" s="109"/>
      <c r="S28" s="109"/>
      <c r="T28" s="109"/>
      <c r="U28" s="109"/>
      <c r="V28" s="109"/>
      <c r="W28" s="109"/>
      <c r="X28" s="110"/>
      <c r="Y28" s="110"/>
      <c r="Z28" s="110"/>
      <c r="AA28" s="110"/>
      <c r="AB28" s="110"/>
      <c r="AC28" s="110"/>
      <c r="AD28" s="110"/>
      <c r="AE28" s="110"/>
      <c r="AF28" s="110"/>
      <c r="AG28" s="111"/>
      <c r="AH28" s="112">
        <f t="shared" si="1"/>
        <v>7.222222222</v>
      </c>
      <c r="AI28" s="113"/>
      <c r="AJ28" s="114"/>
      <c r="AK28" s="114"/>
      <c r="AL28" s="114"/>
      <c r="AM28" s="114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6"/>
      <c r="BM28" s="117" t="str">
        <f t="shared" si="2"/>
        <v>#DIV/0!</v>
      </c>
      <c r="BN28" s="118">
        <v>9.0</v>
      </c>
      <c r="BO28" s="187">
        <v>10.0</v>
      </c>
      <c r="BP28" s="187">
        <v>10.0</v>
      </c>
      <c r="BQ28" s="119"/>
      <c r="BR28" s="119"/>
      <c r="BS28" s="119"/>
      <c r="BT28" s="120"/>
      <c r="BU28" s="153"/>
      <c r="BV28" s="150">
        <v>7.0</v>
      </c>
      <c r="BW28" s="123">
        <v>7.0</v>
      </c>
      <c r="BX28" s="124">
        <v>3.5</v>
      </c>
      <c r="BY28" s="189">
        <v>6.0</v>
      </c>
      <c r="BZ28" s="10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</row>
    <row r="29" ht="15.75" customHeight="1">
      <c r="A29" s="126">
        <v>19.0</v>
      </c>
      <c r="B29" s="127" t="str">
        <f>DATOS!C29</f>
        <v>RAMIREZ GUEIXPAL VANIA GUADALUPE</v>
      </c>
      <c r="C29" s="106"/>
      <c r="D29" s="128">
        <v>10.0</v>
      </c>
      <c r="E29" s="129">
        <v>10.0</v>
      </c>
      <c r="F29" s="129">
        <v>10.0</v>
      </c>
      <c r="G29" s="129">
        <v>10.0</v>
      </c>
      <c r="H29" s="129">
        <v>10.0</v>
      </c>
      <c r="I29" s="129">
        <v>10.0</v>
      </c>
      <c r="J29" s="129">
        <v>10.0</v>
      </c>
      <c r="K29" s="129">
        <v>10.0</v>
      </c>
      <c r="L29" s="129">
        <v>10.0</v>
      </c>
      <c r="M29" s="129">
        <v>10.0</v>
      </c>
      <c r="N29" s="129">
        <v>10.0</v>
      </c>
      <c r="O29" s="130">
        <v>10.0</v>
      </c>
      <c r="P29" s="130">
        <v>10.0</v>
      </c>
      <c r="Q29" s="130">
        <v>10.0</v>
      </c>
      <c r="R29" s="130">
        <v>10.0</v>
      </c>
      <c r="S29" s="130">
        <v>10.0</v>
      </c>
      <c r="T29" s="130">
        <v>10.0</v>
      </c>
      <c r="U29" s="130">
        <v>10.0</v>
      </c>
      <c r="V29" s="130">
        <v>10.0</v>
      </c>
      <c r="W29" s="130">
        <v>10.0</v>
      </c>
      <c r="X29" s="131"/>
      <c r="Y29" s="131"/>
      <c r="Z29" s="131"/>
      <c r="AA29" s="131"/>
      <c r="AB29" s="131"/>
      <c r="AC29" s="131"/>
      <c r="AD29" s="131"/>
      <c r="AE29" s="131"/>
      <c r="AF29" s="131"/>
      <c r="AG29" s="132"/>
      <c r="AH29" s="133">
        <f t="shared" si="1"/>
        <v>10</v>
      </c>
      <c r="AI29" s="147">
        <v>10.0</v>
      </c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6"/>
      <c r="BH29" s="136"/>
      <c r="BI29" s="136"/>
      <c r="BJ29" s="136"/>
      <c r="BK29" s="136"/>
      <c r="BL29" s="137"/>
      <c r="BM29" s="138">
        <f t="shared" si="2"/>
        <v>10</v>
      </c>
      <c r="BN29" s="139">
        <v>10.0</v>
      </c>
      <c r="BO29" s="188">
        <v>10.0</v>
      </c>
      <c r="BP29" s="188">
        <v>9.0</v>
      </c>
      <c r="BQ29" s="140"/>
      <c r="BR29" s="140"/>
      <c r="BS29" s="140"/>
      <c r="BT29" s="141"/>
      <c r="BU29" s="142">
        <f t="shared" ref="BU29:BU40" si="5">AVERAGE(BN29:BT29)</f>
        <v>9.666666667</v>
      </c>
      <c r="BV29" s="152">
        <v>10.0</v>
      </c>
      <c r="BW29" s="148">
        <v>10.0</v>
      </c>
      <c r="BX29" s="145">
        <v>9.5</v>
      </c>
      <c r="BY29" s="146">
        <f t="shared" ref="BY29:BY40" si="6">(AH29*$BY$1)+(BM29*$BY$2)+(BU29*$BY$3)+(BV29*$BY$4)+(BW29*$BY$5)+(BX29*$BY$6)</f>
        <v>9.833333333</v>
      </c>
      <c r="BZ29" s="10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</row>
    <row r="30" ht="15.75" customHeight="1">
      <c r="A30" s="104">
        <v>20.0</v>
      </c>
      <c r="B30" s="105" t="str">
        <f>DATOS!C30</f>
        <v>RAMIREZ MARTINEZ EDWIN EMMANUEL</v>
      </c>
      <c r="C30" s="106"/>
      <c r="D30" s="107">
        <v>6.0</v>
      </c>
      <c r="E30" s="108">
        <v>6.0</v>
      </c>
      <c r="F30" s="108">
        <v>6.0</v>
      </c>
      <c r="G30" s="108">
        <v>6.0</v>
      </c>
      <c r="H30" s="108">
        <v>6.0</v>
      </c>
      <c r="I30" s="108">
        <v>6.0</v>
      </c>
      <c r="J30" s="108">
        <v>6.0</v>
      </c>
      <c r="K30" s="108">
        <v>6.0</v>
      </c>
      <c r="L30" s="108">
        <v>6.0</v>
      </c>
      <c r="M30" s="108">
        <v>6.0</v>
      </c>
      <c r="N30" s="108">
        <v>6.0</v>
      </c>
      <c r="O30" s="109">
        <v>6.0</v>
      </c>
      <c r="P30" s="109">
        <v>6.0</v>
      </c>
      <c r="Q30" s="109">
        <v>6.0</v>
      </c>
      <c r="R30" s="109">
        <v>6.0</v>
      </c>
      <c r="S30" s="109">
        <v>6.0</v>
      </c>
      <c r="T30" s="109">
        <v>6.0</v>
      </c>
      <c r="U30" s="109">
        <v>6.0</v>
      </c>
      <c r="V30" s="109">
        <v>6.0</v>
      </c>
      <c r="W30" s="109">
        <v>6.0</v>
      </c>
      <c r="X30" s="110"/>
      <c r="Y30" s="110"/>
      <c r="Z30" s="110"/>
      <c r="AA30" s="110"/>
      <c r="AB30" s="110"/>
      <c r="AC30" s="110"/>
      <c r="AD30" s="110"/>
      <c r="AE30" s="110"/>
      <c r="AF30" s="110"/>
      <c r="AG30" s="111"/>
      <c r="AH30" s="112">
        <f t="shared" si="1"/>
        <v>6</v>
      </c>
      <c r="AI30" s="113">
        <v>8.0</v>
      </c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6"/>
      <c r="BM30" s="117">
        <f t="shared" si="2"/>
        <v>8</v>
      </c>
      <c r="BN30" s="118">
        <v>6.0</v>
      </c>
      <c r="BO30" s="187">
        <v>7.0</v>
      </c>
      <c r="BP30" s="187">
        <v>8.0</v>
      </c>
      <c r="BQ30" s="119"/>
      <c r="BR30" s="119"/>
      <c r="BS30" s="119"/>
      <c r="BT30" s="120"/>
      <c r="BU30" s="121">
        <f t="shared" si="5"/>
        <v>7</v>
      </c>
      <c r="BV30" s="150">
        <v>7.0</v>
      </c>
      <c r="BW30" s="123">
        <v>7.0</v>
      </c>
      <c r="BX30" s="124">
        <v>8.0</v>
      </c>
      <c r="BY30" s="125">
        <f t="shared" si="6"/>
        <v>7.2</v>
      </c>
      <c r="BZ30" s="10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</row>
    <row r="31" ht="15.75" customHeight="1">
      <c r="A31" s="126">
        <v>21.0</v>
      </c>
      <c r="B31" s="127" t="str">
        <f>DATOS!C31</f>
        <v>RANGEL GARCÍA DANIEL TIMOTEO</v>
      </c>
      <c r="C31" s="106"/>
      <c r="D31" s="128">
        <v>9.0</v>
      </c>
      <c r="E31" s="129">
        <v>8.0</v>
      </c>
      <c r="F31" s="129">
        <v>8.0</v>
      </c>
      <c r="G31" s="129">
        <v>7.0</v>
      </c>
      <c r="H31" s="129">
        <v>7.0</v>
      </c>
      <c r="I31" s="129">
        <v>7.0</v>
      </c>
      <c r="J31" s="129">
        <v>9.0</v>
      </c>
      <c r="K31" s="129">
        <v>8.0</v>
      </c>
      <c r="L31" s="129">
        <v>8.0</v>
      </c>
      <c r="M31" s="129">
        <v>9.0</v>
      </c>
      <c r="N31" s="129">
        <v>8.0</v>
      </c>
      <c r="O31" s="130">
        <v>8.0</v>
      </c>
      <c r="P31" s="130">
        <v>8.0</v>
      </c>
      <c r="Q31" s="130">
        <v>8.0</v>
      </c>
      <c r="R31" s="130">
        <v>8.0</v>
      </c>
      <c r="S31" s="130">
        <v>8.0</v>
      </c>
      <c r="T31" s="130">
        <v>8.0</v>
      </c>
      <c r="U31" s="130">
        <v>8.0</v>
      </c>
      <c r="V31" s="130">
        <v>8.0</v>
      </c>
      <c r="W31" s="130">
        <v>8.0</v>
      </c>
      <c r="X31" s="131"/>
      <c r="Y31" s="131"/>
      <c r="Z31" s="131"/>
      <c r="AA31" s="131"/>
      <c r="AB31" s="131"/>
      <c r="AC31" s="131"/>
      <c r="AD31" s="131"/>
      <c r="AE31" s="131"/>
      <c r="AF31" s="131"/>
      <c r="AG31" s="132"/>
      <c r="AH31" s="133">
        <f t="shared" si="1"/>
        <v>8</v>
      </c>
      <c r="AI31" s="134">
        <v>7.0</v>
      </c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BM31" s="138">
        <f t="shared" si="2"/>
        <v>7</v>
      </c>
      <c r="BN31" s="139">
        <v>4.0</v>
      </c>
      <c r="BO31" s="188">
        <v>5.0</v>
      </c>
      <c r="BP31" s="188">
        <v>6.0</v>
      </c>
      <c r="BQ31" s="140"/>
      <c r="BR31" s="140"/>
      <c r="BS31" s="140"/>
      <c r="BT31" s="141"/>
      <c r="BU31" s="142">
        <f t="shared" si="5"/>
        <v>5</v>
      </c>
      <c r="BV31" s="152">
        <v>8.0</v>
      </c>
      <c r="BW31" s="148">
        <v>8.0</v>
      </c>
      <c r="BX31" s="145">
        <v>9.0</v>
      </c>
      <c r="BY31" s="146">
        <f t="shared" si="6"/>
        <v>7.4</v>
      </c>
      <c r="BZ31" s="151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</row>
    <row r="32" ht="15.75" customHeight="1">
      <c r="A32" s="104">
        <v>22.0</v>
      </c>
      <c r="B32" s="105" t="str">
        <f>DATOS!C32</f>
        <v>ROCHA RAMÍREZ CRISTIAN GUADALUPE</v>
      </c>
      <c r="C32" s="106"/>
      <c r="D32" s="107">
        <v>6.0</v>
      </c>
      <c r="E32" s="108">
        <v>5.0</v>
      </c>
      <c r="F32" s="108">
        <v>6.0</v>
      </c>
      <c r="G32" s="108">
        <v>6.0</v>
      </c>
      <c r="H32" s="108">
        <v>6.0</v>
      </c>
      <c r="I32" s="108">
        <v>5.0</v>
      </c>
      <c r="J32" s="108">
        <v>5.0</v>
      </c>
      <c r="K32" s="108">
        <v>5.0</v>
      </c>
      <c r="L32" s="108">
        <v>5.0</v>
      </c>
      <c r="M32" s="108">
        <v>5.0</v>
      </c>
      <c r="N32" s="108">
        <v>6.0</v>
      </c>
      <c r="O32" s="109">
        <v>6.0</v>
      </c>
      <c r="P32" s="109">
        <v>6.0</v>
      </c>
      <c r="Q32" s="109">
        <v>5.0</v>
      </c>
      <c r="R32" s="109">
        <v>6.0</v>
      </c>
      <c r="S32" s="109">
        <v>5.0</v>
      </c>
      <c r="T32" s="109">
        <v>6.0</v>
      </c>
      <c r="U32" s="109">
        <v>6.0</v>
      </c>
      <c r="V32" s="109">
        <v>5.0</v>
      </c>
      <c r="W32" s="109">
        <v>5.0</v>
      </c>
      <c r="X32" s="110"/>
      <c r="Y32" s="110"/>
      <c r="Z32" s="110"/>
      <c r="AA32" s="110"/>
      <c r="AB32" s="110"/>
      <c r="AC32" s="110"/>
      <c r="AD32" s="110"/>
      <c r="AE32" s="110"/>
      <c r="AF32" s="110"/>
      <c r="AG32" s="111"/>
      <c r="AH32" s="112">
        <f t="shared" si="1"/>
        <v>5.5</v>
      </c>
      <c r="AI32" s="113">
        <v>5.0</v>
      </c>
      <c r="AJ32" s="114"/>
      <c r="AK32" s="114"/>
      <c r="AL32" s="114"/>
      <c r="AM32" s="114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6"/>
      <c r="BM32" s="117">
        <f t="shared" si="2"/>
        <v>5</v>
      </c>
      <c r="BN32" s="118">
        <v>6.0</v>
      </c>
      <c r="BO32" s="187">
        <v>7.0</v>
      </c>
      <c r="BP32" s="187">
        <v>8.0</v>
      </c>
      <c r="BQ32" s="119"/>
      <c r="BR32" s="119"/>
      <c r="BS32" s="119"/>
      <c r="BT32" s="120"/>
      <c r="BU32" s="121">
        <f t="shared" si="5"/>
        <v>7</v>
      </c>
      <c r="BV32" s="150">
        <v>5.0</v>
      </c>
      <c r="BW32" s="123">
        <v>5.0</v>
      </c>
      <c r="BX32" s="124">
        <v>8.0</v>
      </c>
      <c r="BY32" s="125">
        <f t="shared" si="6"/>
        <v>6.1</v>
      </c>
      <c r="BZ32" s="10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</row>
    <row r="33" ht="15.75" customHeight="1">
      <c r="A33" s="126">
        <v>23.0</v>
      </c>
      <c r="B33" s="127" t="str">
        <f>DATOS!C33</f>
        <v>RODULFO ARGÜELLO ISAÍAS TADEO</v>
      </c>
      <c r="C33" s="106"/>
      <c r="D33" s="128">
        <v>8.0</v>
      </c>
      <c r="E33" s="129">
        <v>8.0</v>
      </c>
      <c r="F33" s="129">
        <v>9.0</v>
      </c>
      <c r="G33" s="129">
        <v>7.0</v>
      </c>
      <c r="H33" s="129">
        <v>6.0</v>
      </c>
      <c r="I33" s="129">
        <v>6.0</v>
      </c>
      <c r="J33" s="129">
        <v>6.0</v>
      </c>
      <c r="K33" s="129">
        <v>6.0</v>
      </c>
      <c r="L33" s="129">
        <v>7.0</v>
      </c>
      <c r="M33" s="129">
        <v>6.0</v>
      </c>
      <c r="N33" s="129">
        <v>6.0</v>
      </c>
      <c r="O33" s="130">
        <v>6.0</v>
      </c>
      <c r="P33" s="130">
        <v>6.0</v>
      </c>
      <c r="Q33" s="130">
        <v>7.0</v>
      </c>
      <c r="R33" s="130">
        <v>7.0</v>
      </c>
      <c r="S33" s="130">
        <v>7.0</v>
      </c>
      <c r="T33" s="130">
        <v>8.0</v>
      </c>
      <c r="U33" s="130">
        <v>8.0</v>
      </c>
      <c r="V33" s="130">
        <v>8.0</v>
      </c>
      <c r="W33" s="130">
        <v>8.0</v>
      </c>
      <c r="X33" s="131"/>
      <c r="Y33" s="131"/>
      <c r="Z33" s="131"/>
      <c r="AA33" s="131"/>
      <c r="AB33" s="131"/>
      <c r="AC33" s="131"/>
      <c r="AD33" s="131"/>
      <c r="AE33" s="131"/>
      <c r="AF33" s="131"/>
      <c r="AG33" s="132"/>
      <c r="AH33" s="133">
        <f t="shared" si="1"/>
        <v>7</v>
      </c>
      <c r="AI33" s="134">
        <v>7.0</v>
      </c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7"/>
      <c r="BM33" s="138">
        <f t="shared" si="2"/>
        <v>7</v>
      </c>
      <c r="BN33" s="139">
        <v>9.0</v>
      </c>
      <c r="BO33" s="188">
        <v>8.0</v>
      </c>
      <c r="BP33" s="188">
        <v>8.0</v>
      </c>
      <c r="BQ33" s="140"/>
      <c r="BR33" s="140"/>
      <c r="BS33" s="140"/>
      <c r="BT33" s="141"/>
      <c r="BU33" s="142">
        <f t="shared" si="5"/>
        <v>8.333333333</v>
      </c>
      <c r="BV33" s="152">
        <v>7.0</v>
      </c>
      <c r="BW33" s="148">
        <v>7.0</v>
      </c>
      <c r="BX33" s="145">
        <v>7.5</v>
      </c>
      <c r="BY33" s="146">
        <f t="shared" si="6"/>
        <v>7.366666667</v>
      </c>
      <c r="BZ33" s="10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</row>
    <row r="34" ht="15.75" customHeight="1">
      <c r="A34" s="104">
        <v>24.0</v>
      </c>
      <c r="B34" s="105" t="str">
        <f>DATOS!C34</f>
        <v>RUBIO HERNÁNDEZ EVELIN</v>
      </c>
      <c r="C34" s="106"/>
      <c r="D34" s="107">
        <v>10.0</v>
      </c>
      <c r="E34" s="108">
        <v>10.0</v>
      </c>
      <c r="F34" s="108">
        <v>10.0</v>
      </c>
      <c r="G34" s="108">
        <v>10.0</v>
      </c>
      <c r="H34" s="108">
        <v>10.0</v>
      </c>
      <c r="I34" s="108">
        <v>10.0</v>
      </c>
      <c r="J34" s="108">
        <v>10.0</v>
      </c>
      <c r="K34" s="108">
        <v>10.0</v>
      </c>
      <c r="L34" s="108">
        <v>9.0</v>
      </c>
      <c r="M34" s="108">
        <v>10.0</v>
      </c>
      <c r="N34" s="108">
        <v>10.0</v>
      </c>
      <c r="O34" s="109">
        <v>9.0</v>
      </c>
      <c r="P34" s="109">
        <v>9.0</v>
      </c>
      <c r="Q34" s="109">
        <v>9.0</v>
      </c>
      <c r="R34" s="109">
        <v>10.0</v>
      </c>
      <c r="S34" s="109">
        <v>10.0</v>
      </c>
      <c r="T34" s="109">
        <v>10.0</v>
      </c>
      <c r="U34" s="109">
        <v>10.0</v>
      </c>
      <c r="V34" s="109">
        <v>9.0</v>
      </c>
      <c r="W34" s="109">
        <v>10.0</v>
      </c>
      <c r="X34" s="110"/>
      <c r="Y34" s="110"/>
      <c r="Z34" s="110"/>
      <c r="AA34" s="110"/>
      <c r="AB34" s="110"/>
      <c r="AC34" s="110"/>
      <c r="AD34" s="110"/>
      <c r="AE34" s="110"/>
      <c r="AF34" s="110"/>
      <c r="AG34" s="111"/>
      <c r="AH34" s="112">
        <f t="shared" si="1"/>
        <v>9.75</v>
      </c>
      <c r="AI34" s="149">
        <v>10.0</v>
      </c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6"/>
      <c r="BM34" s="117">
        <f t="shared" si="2"/>
        <v>10</v>
      </c>
      <c r="BN34" s="118">
        <v>8.0</v>
      </c>
      <c r="BO34" s="187">
        <v>9.0</v>
      </c>
      <c r="BP34" s="187">
        <v>10.0</v>
      </c>
      <c r="BQ34" s="119"/>
      <c r="BR34" s="119"/>
      <c r="BS34" s="119"/>
      <c r="BT34" s="120"/>
      <c r="BU34" s="121">
        <f t="shared" si="5"/>
        <v>9</v>
      </c>
      <c r="BV34" s="150">
        <v>10.0</v>
      </c>
      <c r="BW34" s="123">
        <v>10.0</v>
      </c>
      <c r="BX34" s="124">
        <v>10.0</v>
      </c>
      <c r="BY34" s="125">
        <f t="shared" si="6"/>
        <v>9.75</v>
      </c>
      <c r="BZ34" s="10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</row>
    <row r="35" ht="15.75" customHeight="1">
      <c r="A35" s="126">
        <v>25.0</v>
      </c>
      <c r="B35" s="127" t="str">
        <f>DATOS!C35</f>
        <v>SALAZAR GOMEZ OSVALDO DAMIAN</v>
      </c>
      <c r="C35" s="106"/>
      <c r="D35" s="128">
        <v>9.0</v>
      </c>
      <c r="E35" s="129">
        <v>8.0</v>
      </c>
      <c r="F35" s="129">
        <v>8.0</v>
      </c>
      <c r="G35" s="129">
        <v>9.0</v>
      </c>
      <c r="H35" s="129">
        <v>7.0</v>
      </c>
      <c r="I35" s="129">
        <v>9.0</v>
      </c>
      <c r="J35" s="129">
        <v>8.0</v>
      </c>
      <c r="K35" s="129">
        <v>6.0</v>
      </c>
      <c r="L35" s="129">
        <v>6.0</v>
      </c>
      <c r="M35" s="129">
        <v>8.0</v>
      </c>
      <c r="N35" s="129">
        <v>8.0</v>
      </c>
      <c r="O35" s="130">
        <v>7.0</v>
      </c>
      <c r="P35" s="130">
        <v>7.0</v>
      </c>
      <c r="Q35" s="130">
        <v>7.0</v>
      </c>
      <c r="R35" s="130">
        <v>9.0</v>
      </c>
      <c r="S35" s="130">
        <v>6.0</v>
      </c>
      <c r="T35" s="130">
        <v>7.0</v>
      </c>
      <c r="U35" s="130">
        <v>7.0</v>
      </c>
      <c r="V35" s="130">
        <v>7.0</v>
      </c>
      <c r="W35" s="130">
        <v>7.0</v>
      </c>
      <c r="X35" s="131"/>
      <c r="Y35" s="131"/>
      <c r="Z35" s="131"/>
      <c r="AA35" s="131"/>
      <c r="AB35" s="131"/>
      <c r="AC35" s="131"/>
      <c r="AD35" s="131"/>
      <c r="AE35" s="131"/>
      <c r="AF35" s="131"/>
      <c r="AG35" s="132"/>
      <c r="AH35" s="133">
        <f t="shared" si="1"/>
        <v>7.5</v>
      </c>
      <c r="AI35" s="147">
        <v>10.0</v>
      </c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7"/>
      <c r="BM35" s="138">
        <f t="shared" si="2"/>
        <v>10</v>
      </c>
      <c r="BN35" s="139">
        <v>6.0</v>
      </c>
      <c r="BO35" s="188">
        <v>7.0</v>
      </c>
      <c r="BP35" s="188">
        <v>8.0</v>
      </c>
      <c r="BQ35" s="140"/>
      <c r="BR35" s="140"/>
      <c r="BS35" s="140"/>
      <c r="BT35" s="141"/>
      <c r="BU35" s="142">
        <f t="shared" si="5"/>
        <v>7</v>
      </c>
      <c r="BV35" s="152">
        <v>9.0</v>
      </c>
      <c r="BW35" s="148">
        <v>9.0</v>
      </c>
      <c r="BX35" s="145">
        <v>8.5</v>
      </c>
      <c r="BY35" s="146">
        <f t="shared" si="6"/>
        <v>8.4</v>
      </c>
      <c r="BZ35" s="155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</row>
    <row r="36" ht="15.75" customHeight="1">
      <c r="A36" s="104">
        <v>26.0</v>
      </c>
      <c r="B36" s="105" t="str">
        <f>DATOS!C36</f>
        <v>SANTIAGO DEL ANGEL JESUS ANTONIO</v>
      </c>
      <c r="C36" s="106"/>
      <c r="D36" s="107">
        <v>10.0</v>
      </c>
      <c r="E36" s="108">
        <v>10.0</v>
      </c>
      <c r="F36" s="108">
        <v>10.0</v>
      </c>
      <c r="G36" s="108">
        <v>9.0</v>
      </c>
      <c r="H36" s="108">
        <v>8.0</v>
      </c>
      <c r="I36" s="108">
        <v>10.0</v>
      </c>
      <c r="J36" s="108">
        <v>9.0</v>
      </c>
      <c r="K36" s="108">
        <v>9.0</v>
      </c>
      <c r="L36" s="108">
        <v>9.0</v>
      </c>
      <c r="M36" s="108">
        <v>9.0</v>
      </c>
      <c r="N36" s="108">
        <v>10.0</v>
      </c>
      <c r="O36" s="109">
        <v>9.0</v>
      </c>
      <c r="P36" s="109">
        <v>9.0</v>
      </c>
      <c r="Q36" s="109">
        <v>10.0</v>
      </c>
      <c r="R36" s="109">
        <v>10.0</v>
      </c>
      <c r="S36" s="109">
        <v>10.0</v>
      </c>
      <c r="T36" s="109">
        <v>10.0</v>
      </c>
      <c r="U36" s="109">
        <v>9.0</v>
      </c>
      <c r="V36" s="109">
        <v>10.0</v>
      </c>
      <c r="W36" s="109">
        <v>9.0</v>
      </c>
      <c r="X36" s="110"/>
      <c r="Y36" s="110"/>
      <c r="Z36" s="110"/>
      <c r="AA36" s="110"/>
      <c r="AB36" s="110"/>
      <c r="AC36" s="110"/>
      <c r="AD36" s="110"/>
      <c r="AE36" s="110"/>
      <c r="AF36" s="110"/>
      <c r="AG36" s="111"/>
      <c r="AH36" s="112">
        <f t="shared" si="1"/>
        <v>9.45</v>
      </c>
      <c r="AI36" s="113">
        <v>7.0</v>
      </c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6"/>
      <c r="BM36" s="117">
        <f t="shared" si="2"/>
        <v>7</v>
      </c>
      <c r="BN36" s="118">
        <v>6.0</v>
      </c>
      <c r="BO36" s="187">
        <v>7.0</v>
      </c>
      <c r="BP36" s="187">
        <v>8.0</v>
      </c>
      <c r="BQ36" s="119"/>
      <c r="BR36" s="119"/>
      <c r="BS36" s="119"/>
      <c r="BT36" s="120"/>
      <c r="BU36" s="121">
        <f t="shared" si="5"/>
        <v>7</v>
      </c>
      <c r="BV36" s="150">
        <v>8.0</v>
      </c>
      <c r="BW36" s="123">
        <v>8.0</v>
      </c>
      <c r="BX36" s="124">
        <v>10.0</v>
      </c>
      <c r="BY36" s="125">
        <f t="shared" si="6"/>
        <v>8.29</v>
      </c>
      <c r="BZ36" s="10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</row>
    <row r="37" ht="15.75" customHeight="1">
      <c r="A37" s="126">
        <v>27.0</v>
      </c>
      <c r="B37" s="127" t="str">
        <f>DATOS!C37</f>
        <v>SILVA GONZALEZ LEONARDO SAID</v>
      </c>
      <c r="C37" s="106"/>
      <c r="D37" s="128">
        <v>7.0</v>
      </c>
      <c r="E37" s="129">
        <v>7.0</v>
      </c>
      <c r="F37" s="129">
        <v>7.0</v>
      </c>
      <c r="G37" s="129">
        <v>7.0</v>
      </c>
      <c r="H37" s="129">
        <v>6.0</v>
      </c>
      <c r="I37" s="129">
        <v>6.0</v>
      </c>
      <c r="J37" s="129">
        <v>6.0</v>
      </c>
      <c r="K37" s="129">
        <v>6.0</v>
      </c>
      <c r="L37" s="129">
        <v>6.0</v>
      </c>
      <c r="M37" s="129">
        <v>6.0</v>
      </c>
      <c r="N37" s="129">
        <v>7.0</v>
      </c>
      <c r="O37" s="130">
        <v>7.0</v>
      </c>
      <c r="P37" s="130">
        <v>7.0</v>
      </c>
      <c r="Q37" s="130">
        <v>7.0</v>
      </c>
      <c r="R37" s="130">
        <v>7.0</v>
      </c>
      <c r="S37" s="130">
        <v>6.0</v>
      </c>
      <c r="T37" s="130">
        <v>6.0</v>
      </c>
      <c r="U37" s="130">
        <v>6.0</v>
      </c>
      <c r="V37" s="130">
        <v>6.0</v>
      </c>
      <c r="W37" s="130">
        <v>6.0</v>
      </c>
      <c r="X37" s="131"/>
      <c r="Y37" s="131"/>
      <c r="Z37" s="131"/>
      <c r="AA37" s="131"/>
      <c r="AB37" s="131"/>
      <c r="AC37" s="131"/>
      <c r="AD37" s="131"/>
      <c r="AE37" s="131"/>
      <c r="AF37" s="131"/>
      <c r="AG37" s="132"/>
      <c r="AH37" s="133">
        <f t="shared" si="1"/>
        <v>6.45</v>
      </c>
      <c r="AI37" s="134">
        <v>7.0</v>
      </c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7"/>
      <c r="BM37" s="138">
        <f t="shared" si="2"/>
        <v>7</v>
      </c>
      <c r="BN37" s="139">
        <v>6.0</v>
      </c>
      <c r="BO37" s="188">
        <v>7.0</v>
      </c>
      <c r="BP37" s="188">
        <v>8.0</v>
      </c>
      <c r="BQ37" s="140"/>
      <c r="BR37" s="140"/>
      <c r="BS37" s="140"/>
      <c r="BT37" s="141"/>
      <c r="BU37" s="142">
        <f t="shared" si="5"/>
        <v>7</v>
      </c>
      <c r="BV37" s="152">
        <v>7.0</v>
      </c>
      <c r="BW37" s="148">
        <v>7.0</v>
      </c>
      <c r="BX37" s="145">
        <v>9.0</v>
      </c>
      <c r="BY37" s="146">
        <f t="shared" si="6"/>
        <v>7.29</v>
      </c>
      <c r="BZ37" s="10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</row>
    <row r="38" ht="15.75" customHeight="1">
      <c r="A38" s="104">
        <v>28.0</v>
      </c>
      <c r="B38" s="105" t="str">
        <f>DATOS!C38</f>
        <v>TOBIAS LOZANO ESTEFANY LIZBETH</v>
      </c>
      <c r="C38" s="106"/>
      <c r="D38" s="107">
        <v>9.0</v>
      </c>
      <c r="E38" s="108">
        <v>8.0</v>
      </c>
      <c r="F38" s="108">
        <v>8.0</v>
      </c>
      <c r="G38" s="108">
        <v>6.0</v>
      </c>
      <c r="H38" s="108">
        <v>7.0</v>
      </c>
      <c r="I38" s="108">
        <v>7.0</v>
      </c>
      <c r="J38" s="108">
        <v>7.0</v>
      </c>
      <c r="K38" s="108">
        <v>7.0</v>
      </c>
      <c r="L38" s="108">
        <v>7.0</v>
      </c>
      <c r="M38" s="108">
        <v>7.0</v>
      </c>
      <c r="N38" s="108">
        <v>6.0</v>
      </c>
      <c r="O38" s="109">
        <v>7.0</v>
      </c>
      <c r="P38" s="109">
        <v>7.0</v>
      </c>
      <c r="Q38" s="109">
        <v>6.0</v>
      </c>
      <c r="R38" s="109">
        <v>7.0</v>
      </c>
      <c r="S38" s="109">
        <v>6.0</v>
      </c>
      <c r="T38" s="109">
        <v>7.0</v>
      </c>
      <c r="U38" s="109">
        <v>7.0</v>
      </c>
      <c r="V38" s="109">
        <v>7.0</v>
      </c>
      <c r="W38" s="109">
        <v>7.0</v>
      </c>
      <c r="X38" s="110"/>
      <c r="Y38" s="110"/>
      <c r="Z38" s="110"/>
      <c r="AA38" s="110"/>
      <c r="AB38" s="110"/>
      <c r="AC38" s="110"/>
      <c r="AD38" s="110"/>
      <c r="AE38" s="110"/>
      <c r="AF38" s="110"/>
      <c r="AG38" s="111"/>
      <c r="AH38" s="112">
        <f t="shared" si="1"/>
        <v>7</v>
      </c>
      <c r="AI38" s="149">
        <v>7.0</v>
      </c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6"/>
      <c r="BM38" s="117">
        <f t="shared" si="2"/>
        <v>7</v>
      </c>
      <c r="BN38" s="118">
        <v>5.0</v>
      </c>
      <c r="BO38" s="187">
        <v>6.0</v>
      </c>
      <c r="BP38" s="187">
        <v>7.0</v>
      </c>
      <c r="BQ38" s="119"/>
      <c r="BR38" s="119"/>
      <c r="BS38" s="119"/>
      <c r="BT38" s="120"/>
      <c r="BU38" s="121">
        <f t="shared" si="5"/>
        <v>6</v>
      </c>
      <c r="BV38" s="150">
        <v>8.0</v>
      </c>
      <c r="BW38" s="123">
        <v>8.0</v>
      </c>
      <c r="BX38" s="124">
        <v>9.5</v>
      </c>
      <c r="BY38" s="125">
        <f t="shared" si="6"/>
        <v>7.5</v>
      </c>
      <c r="BZ38" s="10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</row>
    <row r="39" ht="15.75" customHeight="1">
      <c r="A39" s="126">
        <v>29.0</v>
      </c>
      <c r="B39" s="127" t="str">
        <f>DATOS!C39</f>
        <v>TORRES MEDINA JOSHLEY ALEJANDRO</v>
      </c>
      <c r="C39" s="106"/>
      <c r="D39" s="128">
        <v>6.0</v>
      </c>
      <c r="E39" s="129">
        <v>6.0</v>
      </c>
      <c r="F39" s="129">
        <v>6.0</v>
      </c>
      <c r="G39" s="129">
        <v>6.0</v>
      </c>
      <c r="H39" s="129">
        <v>6.0</v>
      </c>
      <c r="I39" s="129">
        <v>6.0</v>
      </c>
      <c r="J39" s="129">
        <v>6.0</v>
      </c>
      <c r="K39" s="129">
        <v>6.0</v>
      </c>
      <c r="L39" s="129">
        <v>6.0</v>
      </c>
      <c r="M39" s="129">
        <v>6.0</v>
      </c>
      <c r="N39" s="129">
        <v>6.0</v>
      </c>
      <c r="O39" s="130">
        <v>6.0</v>
      </c>
      <c r="P39" s="130">
        <v>6.0</v>
      </c>
      <c r="Q39" s="130">
        <v>6.0</v>
      </c>
      <c r="R39" s="130">
        <v>6.0</v>
      </c>
      <c r="S39" s="130">
        <v>6.0</v>
      </c>
      <c r="T39" s="130">
        <v>6.0</v>
      </c>
      <c r="U39" s="130">
        <v>6.0</v>
      </c>
      <c r="V39" s="130">
        <v>6.0</v>
      </c>
      <c r="W39" s="130">
        <v>6.0</v>
      </c>
      <c r="X39" s="131"/>
      <c r="Y39" s="131"/>
      <c r="Z39" s="131"/>
      <c r="AA39" s="131"/>
      <c r="AB39" s="131"/>
      <c r="AC39" s="131"/>
      <c r="AD39" s="131"/>
      <c r="AE39" s="131"/>
      <c r="AF39" s="131"/>
      <c r="AG39" s="132"/>
      <c r="AH39" s="133">
        <f t="shared" si="1"/>
        <v>6</v>
      </c>
      <c r="AI39" s="134">
        <v>6.0</v>
      </c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BM39" s="138">
        <f t="shared" si="2"/>
        <v>6</v>
      </c>
      <c r="BN39" s="139">
        <v>7.0</v>
      </c>
      <c r="BO39" s="188">
        <v>7.0</v>
      </c>
      <c r="BP39" s="188">
        <v>7.0</v>
      </c>
      <c r="BQ39" s="140"/>
      <c r="BR39" s="140"/>
      <c r="BS39" s="140"/>
      <c r="BT39" s="141"/>
      <c r="BU39" s="142">
        <f t="shared" si="5"/>
        <v>7</v>
      </c>
      <c r="BV39" s="152">
        <v>5.0</v>
      </c>
      <c r="BW39" s="148">
        <v>5.0</v>
      </c>
      <c r="BX39" s="145">
        <v>7.5</v>
      </c>
      <c r="BY39" s="146">
        <f t="shared" si="6"/>
        <v>6.3</v>
      </c>
      <c r="BZ39" s="10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</row>
    <row r="40" ht="15.75" customHeight="1">
      <c r="A40" s="104">
        <v>30.0</v>
      </c>
      <c r="B40" s="105" t="str">
        <f>DATOS!C40</f>
        <v>RAMÍREZ CORREA ALISSON</v>
      </c>
      <c r="C40" s="106"/>
      <c r="D40" s="156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09">
        <v>10.0</v>
      </c>
      <c r="P40" s="109">
        <v>10.0</v>
      </c>
      <c r="Q40" s="109">
        <v>9.0</v>
      </c>
      <c r="R40" s="109">
        <v>9.0</v>
      </c>
      <c r="S40" s="109">
        <v>9.0</v>
      </c>
      <c r="T40" s="109">
        <v>10.0</v>
      </c>
      <c r="U40" s="109">
        <v>10.0</v>
      </c>
      <c r="V40" s="109">
        <v>10.0</v>
      </c>
      <c r="W40" s="109">
        <v>10.0</v>
      </c>
      <c r="X40" s="110"/>
      <c r="Y40" s="110"/>
      <c r="Z40" s="110"/>
      <c r="AA40" s="110"/>
      <c r="AB40" s="110"/>
      <c r="AC40" s="110"/>
      <c r="AD40" s="110"/>
      <c r="AE40" s="110"/>
      <c r="AF40" s="110"/>
      <c r="AG40" s="111"/>
      <c r="AH40" s="190">
        <f t="shared" si="1"/>
        <v>9.666666667</v>
      </c>
      <c r="AI40" s="113">
        <v>10.0</v>
      </c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6"/>
      <c r="BM40" s="191">
        <f t="shared" si="2"/>
        <v>10</v>
      </c>
      <c r="BN40" s="157"/>
      <c r="BO40" s="187">
        <v>9.0</v>
      </c>
      <c r="BP40" s="187">
        <v>9.0</v>
      </c>
      <c r="BQ40" s="119"/>
      <c r="BR40" s="119"/>
      <c r="BS40" s="119"/>
      <c r="BT40" s="120"/>
      <c r="BU40" s="192">
        <f t="shared" si="5"/>
        <v>9</v>
      </c>
      <c r="BV40" s="150">
        <v>10.0</v>
      </c>
      <c r="BW40" s="123">
        <v>10.0</v>
      </c>
      <c r="BX40" s="124">
        <v>10.0</v>
      </c>
      <c r="BY40" s="125">
        <f t="shared" si="6"/>
        <v>9.733333333</v>
      </c>
      <c r="BZ40" s="159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</row>
    <row r="41" ht="15.75" customHeight="1">
      <c r="A41" s="126">
        <v>31.0</v>
      </c>
      <c r="B41" s="127" t="str">
        <f>DATOS!C41</f>
        <v/>
      </c>
      <c r="C41" s="106"/>
      <c r="D41" s="160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0"/>
      <c r="P41" s="130"/>
      <c r="Q41" s="130"/>
      <c r="R41" s="130"/>
      <c r="S41" s="130"/>
      <c r="T41" s="130"/>
      <c r="U41" s="130"/>
      <c r="V41" s="130"/>
      <c r="W41" s="130"/>
      <c r="X41" s="131"/>
      <c r="Y41" s="131"/>
      <c r="Z41" s="131"/>
      <c r="AA41" s="131"/>
      <c r="AB41" s="131"/>
      <c r="AC41" s="131"/>
      <c r="AD41" s="131"/>
      <c r="AE41" s="131"/>
      <c r="AF41" s="131"/>
      <c r="AG41" s="132"/>
      <c r="AH41" s="133"/>
      <c r="AI41" s="147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BM41" s="138"/>
      <c r="BN41" s="139"/>
      <c r="BO41" s="193"/>
      <c r="BP41" s="193"/>
      <c r="BQ41" s="140"/>
      <c r="BR41" s="140"/>
      <c r="BS41" s="140"/>
      <c r="BT41" s="141"/>
      <c r="BU41" s="142"/>
      <c r="BV41" s="152"/>
      <c r="BW41" s="144"/>
      <c r="BX41" s="145"/>
      <c r="BY41" s="146"/>
      <c r="BZ41" s="159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</row>
    <row r="42" ht="15.75" customHeight="1">
      <c r="A42" s="104">
        <v>32.0</v>
      </c>
      <c r="B42" s="105" t="str">
        <f>DATOS!C42</f>
        <v/>
      </c>
      <c r="C42" s="106"/>
      <c r="D42" s="104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4"/>
      <c r="AH42" s="112"/>
      <c r="AI42" s="149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6"/>
      <c r="BM42" s="117"/>
      <c r="BN42" s="157"/>
      <c r="BO42" s="194"/>
      <c r="BP42" s="194"/>
      <c r="BQ42" s="119"/>
      <c r="BR42" s="119"/>
      <c r="BS42" s="119"/>
      <c r="BT42" s="120"/>
      <c r="BU42" s="121"/>
      <c r="BV42" s="122"/>
      <c r="BW42" s="154"/>
      <c r="BX42" s="158"/>
      <c r="BY42" s="125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</row>
    <row r="43" ht="15.75" customHeight="1">
      <c r="A43" s="126">
        <v>33.0</v>
      </c>
      <c r="B43" s="127" t="str">
        <f>DATOS!C43</f>
        <v/>
      </c>
      <c r="C43" s="106"/>
      <c r="D43" s="160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1"/>
      <c r="AD43" s="131"/>
      <c r="AE43" s="131"/>
      <c r="AF43" s="131"/>
      <c r="AG43" s="132"/>
      <c r="AH43" s="133"/>
      <c r="AI43" s="147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7"/>
      <c r="BM43" s="138"/>
      <c r="BN43" s="161"/>
      <c r="BO43" s="193"/>
      <c r="BP43" s="193"/>
      <c r="BQ43" s="140"/>
      <c r="BR43" s="140"/>
      <c r="BS43" s="140"/>
      <c r="BT43" s="141"/>
      <c r="BU43" s="142"/>
      <c r="BV43" s="143"/>
      <c r="BW43" s="144"/>
      <c r="BX43" s="162"/>
      <c r="BY43" s="146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</row>
    <row r="44" ht="15.75" customHeight="1">
      <c r="A44" s="104">
        <v>34.0</v>
      </c>
      <c r="B44" s="105" t="str">
        <f>DATOS!C44</f>
        <v/>
      </c>
      <c r="C44" s="106"/>
      <c r="D44" s="104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4"/>
      <c r="AH44" s="112"/>
      <c r="AI44" s="149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6"/>
      <c r="BM44" s="117"/>
      <c r="BN44" s="157"/>
      <c r="BO44" s="194"/>
      <c r="BP44" s="194"/>
      <c r="BQ44" s="119"/>
      <c r="BR44" s="119"/>
      <c r="BS44" s="119"/>
      <c r="BT44" s="120"/>
      <c r="BU44" s="121"/>
      <c r="BV44" s="122"/>
      <c r="BW44" s="154"/>
      <c r="BX44" s="158"/>
      <c r="BY44" s="125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</row>
    <row r="45" ht="15.75" customHeight="1">
      <c r="A45" s="126">
        <v>35.0</v>
      </c>
      <c r="B45" s="127" t="str">
        <f>DATOS!C45</f>
        <v/>
      </c>
      <c r="C45" s="106"/>
      <c r="D45" s="160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2"/>
      <c r="AH45" s="133"/>
      <c r="AI45" s="147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7"/>
      <c r="BM45" s="138"/>
      <c r="BN45" s="161"/>
      <c r="BO45" s="193"/>
      <c r="BP45" s="193"/>
      <c r="BQ45" s="140"/>
      <c r="BR45" s="140"/>
      <c r="BS45" s="140"/>
      <c r="BT45" s="141"/>
      <c r="BU45" s="142"/>
      <c r="BV45" s="143"/>
      <c r="BW45" s="144"/>
      <c r="BX45" s="162"/>
      <c r="BY45" s="146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</row>
    <row r="46" ht="15.75" customHeight="1">
      <c r="A46" s="104">
        <v>36.0</v>
      </c>
      <c r="B46" s="105" t="str">
        <f>DATOS!C46</f>
        <v/>
      </c>
      <c r="C46" s="106"/>
      <c r="D46" s="104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4"/>
      <c r="AH46" s="112"/>
      <c r="AI46" s="149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6"/>
      <c r="BM46" s="117"/>
      <c r="BN46" s="157"/>
      <c r="BO46" s="194"/>
      <c r="BP46" s="194"/>
      <c r="BQ46" s="119"/>
      <c r="BR46" s="119"/>
      <c r="BS46" s="119"/>
      <c r="BT46" s="120"/>
      <c r="BU46" s="121"/>
      <c r="BV46" s="122"/>
      <c r="BW46" s="154"/>
      <c r="BX46" s="158"/>
      <c r="BY46" s="165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</row>
    <row r="47" ht="15.75" customHeight="1">
      <c r="A47" s="126">
        <v>37.0</v>
      </c>
      <c r="B47" s="127" t="str">
        <f>DATOS!C47</f>
        <v/>
      </c>
      <c r="C47" s="106"/>
      <c r="D47" s="160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1"/>
      <c r="AF47" s="131"/>
      <c r="AG47" s="132"/>
      <c r="AH47" s="133"/>
      <c r="AI47" s="147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7"/>
      <c r="BM47" s="138"/>
      <c r="BN47" s="161"/>
      <c r="BO47" s="193"/>
      <c r="BP47" s="193"/>
      <c r="BQ47" s="140"/>
      <c r="BR47" s="140"/>
      <c r="BS47" s="140"/>
      <c r="BT47" s="141"/>
      <c r="BU47" s="142"/>
      <c r="BV47" s="143"/>
      <c r="BW47" s="144"/>
      <c r="BX47" s="162"/>
      <c r="BY47" s="142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</row>
    <row r="48" ht="15.75" customHeight="1">
      <c r="A48" s="104">
        <v>38.0</v>
      </c>
      <c r="B48" s="105" t="str">
        <f>DATOS!C48</f>
        <v/>
      </c>
      <c r="C48" s="106"/>
      <c r="D48" s="104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4"/>
      <c r="AH48" s="112"/>
      <c r="AI48" s="149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6"/>
      <c r="BM48" s="117"/>
      <c r="BN48" s="157"/>
      <c r="BO48" s="194"/>
      <c r="BP48" s="194"/>
      <c r="BQ48" s="119"/>
      <c r="BR48" s="119"/>
      <c r="BS48" s="119"/>
      <c r="BT48" s="120"/>
      <c r="BU48" s="121"/>
      <c r="BV48" s="122"/>
      <c r="BW48" s="154"/>
      <c r="BX48" s="158"/>
      <c r="BY48" s="165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</row>
    <row r="49" ht="15.75" customHeight="1">
      <c r="A49" s="126">
        <v>39.0</v>
      </c>
      <c r="B49" s="127" t="str">
        <f>DATOS!C49</f>
        <v/>
      </c>
      <c r="C49" s="106"/>
      <c r="D49" s="160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1"/>
      <c r="AD49" s="131"/>
      <c r="AE49" s="131"/>
      <c r="AF49" s="131"/>
      <c r="AG49" s="132"/>
      <c r="AH49" s="133"/>
      <c r="AI49" s="147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7"/>
      <c r="BM49" s="138"/>
      <c r="BN49" s="161"/>
      <c r="BO49" s="193"/>
      <c r="BP49" s="193"/>
      <c r="BQ49" s="140"/>
      <c r="BR49" s="140"/>
      <c r="BS49" s="140"/>
      <c r="BT49" s="141"/>
      <c r="BU49" s="142"/>
      <c r="BV49" s="143"/>
      <c r="BW49" s="144"/>
      <c r="BX49" s="162"/>
      <c r="BY49" s="142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</row>
    <row r="50" ht="15.75" customHeight="1">
      <c r="A50" s="104">
        <v>40.0</v>
      </c>
      <c r="B50" s="105" t="str">
        <f>DATOS!C50</f>
        <v/>
      </c>
      <c r="C50" s="106"/>
      <c r="D50" s="104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4"/>
      <c r="AH50" s="112"/>
      <c r="AI50" s="149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6"/>
      <c r="BM50" s="117"/>
      <c r="BN50" s="157"/>
      <c r="BO50" s="194"/>
      <c r="BP50" s="194"/>
      <c r="BQ50" s="119"/>
      <c r="BR50" s="119"/>
      <c r="BS50" s="119"/>
      <c r="BT50" s="120"/>
      <c r="BU50" s="121"/>
      <c r="BV50" s="122"/>
      <c r="BW50" s="154"/>
      <c r="BX50" s="158"/>
      <c r="BY50" s="165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</row>
    <row r="51" ht="15.75" customHeight="1">
      <c r="A51" s="126">
        <v>41.0</v>
      </c>
      <c r="B51" s="127" t="str">
        <f>DATOS!C51</f>
        <v/>
      </c>
      <c r="C51" s="106"/>
      <c r="D51" s="160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  <c r="AF51" s="131"/>
      <c r="AG51" s="132"/>
      <c r="AH51" s="133"/>
      <c r="AI51" s="147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7"/>
      <c r="BM51" s="138"/>
      <c r="BN51" s="161"/>
      <c r="BO51" s="193"/>
      <c r="BP51" s="193"/>
      <c r="BQ51" s="140"/>
      <c r="BR51" s="140"/>
      <c r="BS51" s="140"/>
      <c r="BT51" s="141"/>
      <c r="BU51" s="142"/>
      <c r="BV51" s="143"/>
      <c r="BW51" s="144"/>
      <c r="BX51" s="162"/>
      <c r="BY51" s="142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</row>
    <row r="52" ht="15.75" customHeight="1">
      <c r="A52" s="104">
        <v>42.0</v>
      </c>
      <c r="B52" s="105" t="str">
        <f>DATOS!C52</f>
        <v/>
      </c>
      <c r="C52" s="106"/>
      <c r="D52" s="104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4"/>
      <c r="AH52" s="112"/>
      <c r="AI52" s="149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6"/>
      <c r="BM52" s="117"/>
      <c r="BN52" s="157"/>
      <c r="BO52" s="194"/>
      <c r="BP52" s="194"/>
      <c r="BQ52" s="119"/>
      <c r="BR52" s="119"/>
      <c r="BS52" s="119"/>
      <c r="BT52" s="120"/>
      <c r="BU52" s="121"/>
      <c r="BV52" s="122"/>
      <c r="BW52" s="154"/>
      <c r="BX52" s="158"/>
      <c r="BY52" s="165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</row>
    <row r="53" ht="15.75" customHeight="1">
      <c r="A53" s="126">
        <v>43.0</v>
      </c>
      <c r="B53" s="127" t="str">
        <f>DATOS!C53</f>
        <v/>
      </c>
      <c r="C53" s="106"/>
      <c r="D53" s="160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1"/>
      <c r="AD53" s="131"/>
      <c r="AE53" s="131"/>
      <c r="AF53" s="131"/>
      <c r="AG53" s="132"/>
      <c r="AH53" s="133"/>
      <c r="AI53" s="147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7"/>
      <c r="BM53" s="138"/>
      <c r="BN53" s="161"/>
      <c r="BO53" s="193"/>
      <c r="BP53" s="193"/>
      <c r="BQ53" s="140"/>
      <c r="BR53" s="140"/>
      <c r="BS53" s="140"/>
      <c r="BT53" s="141"/>
      <c r="BU53" s="142"/>
      <c r="BV53" s="143"/>
      <c r="BW53" s="144"/>
      <c r="BX53" s="162"/>
      <c r="BY53" s="142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</row>
    <row r="54" ht="15.75" customHeight="1">
      <c r="A54" s="104">
        <v>44.0</v>
      </c>
      <c r="B54" s="105" t="str">
        <f>DATOS!C54</f>
        <v/>
      </c>
      <c r="C54" s="106"/>
      <c r="D54" s="104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4"/>
      <c r="AH54" s="112"/>
      <c r="AI54" s="149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6"/>
      <c r="BM54" s="117"/>
      <c r="BN54" s="157"/>
      <c r="BO54" s="194"/>
      <c r="BP54" s="194"/>
      <c r="BQ54" s="119"/>
      <c r="BR54" s="119"/>
      <c r="BS54" s="119"/>
      <c r="BT54" s="120"/>
      <c r="BU54" s="121"/>
      <c r="BV54" s="122"/>
      <c r="BW54" s="154"/>
      <c r="BX54" s="158"/>
      <c r="BY54" s="165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</row>
    <row r="55" ht="15.75" customHeight="1">
      <c r="A55" s="126">
        <v>45.0</v>
      </c>
      <c r="B55" s="127" t="str">
        <f>DATOS!C55</f>
        <v/>
      </c>
      <c r="C55" s="106"/>
      <c r="D55" s="166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7"/>
      <c r="AD55" s="167"/>
      <c r="AE55" s="167"/>
      <c r="AF55" s="167"/>
      <c r="AG55" s="168"/>
      <c r="AH55" s="169"/>
      <c r="AI55" s="170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1"/>
      <c r="BH55" s="171"/>
      <c r="BI55" s="171"/>
      <c r="BJ55" s="171"/>
      <c r="BK55" s="171"/>
      <c r="BL55" s="172"/>
      <c r="BM55" s="173"/>
      <c r="BN55" s="174"/>
      <c r="BO55" s="195"/>
      <c r="BP55" s="195"/>
      <c r="BQ55" s="175"/>
      <c r="BR55" s="175"/>
      <c r="BS55" s="175"/>
      <c r="BT55" s="176"/>
      <c r="BU55" s="177"/>
      <c r="BV55" s="178"/>
      <c r="BW55" s="179"/>
      <c r="BX55" s="180"/>
      <c r="BY55" s="177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</row>
    <row r="56">
      <c r="A56" s="24"/>
      <c r="B56" s="23"/>
      <c r="C56" s="23"/>
      <c r="D56" s="23"/>
      <c r="E56" s="23"/>
      <c r="F56" s="23"/>
      <c r="G56" s="23"/>
      <c r="H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4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181">
        <f>AVERAGEIF(BY11:BY55,"&lt;&gt;#¡DIV/0!")</f>
        <v>8.034777778</v>
      </c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</row>
    <row r="57" ht="15.75" customHeight="1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tr">
        <f>IFERROR(__xludf.DUMMYFUNCTION("ARRAY_CONSTRAIN(ARRAYFORMULA(SPARKLINE('2do Trimestre'!R57:U57, {""charttype"",""column"";""color"",""#244061"";""empty"",""ignore"";""nan"",""convert""})), 1, 1)"),"#N/A")</f>
        <v>#N/A</v>
      </c>
      <c r="W57" s="23"/>
      <c r="X57" s="23" t="str">
        <f>IFERROR(__xludf.DUMMYFUNCTION("ARRAY_CONSTRAIN(ARRAYFORMULA(SPARKLINE('2do Trimestre'!T57:W57, {""charttype"",""column"";""color"",""#244061"";""empty"",""ignore"";""nan"",""convert""})), 1, 1)"),"#N/A")</f>
        <v>#N/A</v>
      </c>
      <c r="Y57" s="23" t="str">
        <f>IFERROR(__xludf.DUMMYFUNCTION("ARRAY_CONSTRAIN(ARRAYFORMULA(SPARKLINE('2do Trimestre'!U57:X57, {""charttype"",""column"";""color"",""#244061"";""empty"",""ignore"";""nan"",""convert""})), 1, 1)"),"#N/A")</f>
        <v>#N/A</v>
      </c>
      <c r="Z57" s="23" t="str">
        <f>IFERROR(__xludf.DUMMYFUNCTION("ARRAY_CONSTRAIN(ARRAYFORMULA(SPARKLINE('2do Trimestre'!V57:Y57, {""charttype"",""column"";""color"",""#244061"";""empty"",""ignore"";""nan"",""convert""})), 1, 1)"),"#N/A")</f>
        <v>#N/A</v>
      </c>
      <c r="AA57" s="23"/>
      <c r="AB57" s="23"/>
      <c r="AC57" s="23"/>
      <c r="AD57" s="23"/>
      <c r="AE57" s="23"/>
      <c r="AF57" s="23"/>
      <c r="AG57" s="23"/>
      <c r="AH57" s="24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</row>
    <row r="58" ht="15.75" customHeight="1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4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</row>
    <row r="59" ht="15.75" customHeight="1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4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</row>
    <row r="60" ht="15.75" customHeight="1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4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</row>
    <row r="61" ht="15.75" customHeight="1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4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</row>
    <row r="62" ht="15.75" customHeight="1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4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</row>
    <row r="63" ht="15.75" customHeight="1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4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</row>
    <row r="64" ht="15.75" customHeight="1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4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</row>
    <row r="65" ht="15.75" customHeight="1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4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</row>
    <row r="66" ht="15.75" customHeight="1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</row>
    <row r="67" ht="15.75" customHeight="1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4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</row>
    <row r="68" ht="15.75" customHeight="1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4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</row>
    <row r="69" ht="15.75" customHeight="1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</row>
    <row r="70" ht="15.75" customHeight="1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4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</row>
    <row r="71" ht="15.75" customHeight="1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4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</row>
    <row r="72" ht="15.75" customHeight="1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</row>
    <row r="73" ht="15.75" customHeight="1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4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</row>
    <row r="74" ht="15.75" customHeight="1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4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</row>
    <row r="75" ht="15.75" customHeight="1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4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</row>
    <row r="76" ht="15.75" customHeight="1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4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</row>
    <row r="77" ht="15.75" customHeight="1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4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</row>
    <row r="78" ht="15.75" customHeight="1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</row>
    <row r="79" ht="15.75" customHeight="1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4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</row>
    <row r="80" ht="15.75" customHeight="1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4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</row>
    <row r="81" ht="15.75" customHeight="1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4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</row>
    <row r="82" ht="15.75" customHeight="1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4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</row>
    <row r="83" ht="15.75" customHeight="1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4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</row>
    <row r="84" ht="15.75" customHeight="1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4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</row>
    <row r="85" ht="15.75" customHeight="1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4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</row>
    <row r="86" ht="15.75" customHeight="1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4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</row>
    <row r="87" ht="15.75" customHeight="1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4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</row>
    <row r="88" ht="15.75" customHeight="1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4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</row>
    <row r="89" ht="15.75" customHeight="1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4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</row>
    <row r="90" ht="15.75" customHeight="1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4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</row>
    <row r="91" ht="15.75" customHeight="1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4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</row>
    <row r="92" ht="15.75" customHeight="1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4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</row>
    <row r="93" ht="15.75" customHeight="1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4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</row>
    <row r="94" ht="15.75" customHeight="1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4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</row>
    <row r="95" ht="15.75" customHeight="1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</row>
    <row r="96" ht="15.75" customHeight="1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4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</row>
    <row r="97" ht="15.75" customHeight="1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4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</row>
    <row r="98" ht="15.75" customHeight="1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</row>
    <row r="99" ht="15.75" customHeight="1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4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</row>
    <row r="100" ht="15.75" customHeight="1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4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B36:C36"/>
    <mergeCell ref="B37:C37"/>
    <mergeCell ref="B38:C38"/>
    <mergeCell ref="B39:C39"/>
    <mergeCell ref="B40:C40"/>
    <mergeCell ref="B41:C41"/>
    <mergeCell ref="B42:C42"/>
    <mergeCell ref="B50:C50"/>
    <mergeCell ref="B51:C51"/>
    <mergeCell ref="B52:C52"/>
    <mergeCell ref="B53:C53"/>
    <mergeCell ref="B54:C54"/>
    <mergeCell ref="B55:C55"/>
    <mergeCell ref="B43:C43"/>
    <mergeCell ref="B44:C44"/>
    <mergeCell ref="B45:C45"/>
    <mergeCell ref="B46:C46"/>
    <mergeCell ref="B47:C47"/>
    <mergeCell ref="B48:C48"/>
    <mergeCell ref="B49:C49"/>
    <mergeCell ref="A1:C1"/>
    <mergeCell ref="BW1:BX1"/>
    <mergeCell ref="B2:C2"/>
    <mergeCell ref="BW2:BX2"/>
    <mergeCell ref="BN3:BU3"/>
    <mergeCell ref="BW3:BX3"/>
    <mergeCell ref="B4:C4"/>
    <mergeCell ref="BW4:BX4"/>
    <mergeCell ref="BU4:BU9"/>
    <mergeCell ref="BW5:BX5"/>
    <mergeCell ref="BW6:BX6"/>
    <mergeCell ref="BW7:BX7"/>
    <mergeCell ref="BV9:BV10"/>
    <mergeCell ref="BW9:BW10"/>
    <mergeCell ref="BX9:BX10"/>
    <mergeCell ref="BY9:BY10"/>
    <mergeCell ref="BN4:BN9"/>
    <mergeCell ref="BO4:BO9"/>
    <mergeCell ref="BP4:BP9"/>
    <mergeCell ref="BQ4:BQ9"/>
    <mergeCell ref="BR4:BR9"/>
    <mergeCell ref="BS4:BS9"/>
    <mergeCell ref="BT4:BT9"/>
    <mergeCell ref="D9:AH9"/>
    <mergeCell ref="AI9:BM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workbookViewId="0">
      <pane xSplit="3.0" ySplit="10.0" topLeftCell="D11" activePane="bottomRight" state="frozen"/>
      <selection activeCell="D1" sqref="D1" pane="topRight"/>
      <selection activeCell="A11" sqref="A11" pane="bottomLeft"/>
      <selection activeCell="D11" sqref="D11" pane="bottomRight"/>
    </sheetView>
  </sheetViews>
  <sheetFormatPr customHeight="1" defaultColWidth="12.63" defaultRowHeight="15.0" outlineLevelCol="1"/>
  <cols>
    <col customWidth="1" min="1" max="1" width="10.0"/>
    <col customWidth="1" min="2" max="2" width="28.88"/>
    <col customWidth="1" min="3" max="3" width="14.88"/>
    <col customWidth="1" min="4" max="4" width="4.25" outlineLevel="1"/>
    <col customWidth="1" min="5" max="7" width="3.75" outlineLevel="1"/>
    <col customWidth="1" min="8" max="8" width="4.25" outlineLevel="1"/>
    <col customWidth="1" min="9" max="9" width="4.38" outlineLevel="1"/>
    <col customWidth="1" min="10" max="11" width="3.75" outlineLevel="1"/>
    <col customWidth="1" min="12" max="12" width="5.0" outlineLevel="1"/>
    <col customWidth="1" min="13" max="28" width="3.75" outlineLevel="1"/>
    <col customWidth="1" min="29" max="29" width="15.75"/>
    <col customWidth="1" min="30" max="34" width="3.75" outlineLevel="1"/>
    <col customWidth="1" hidden="1" min="35" max="58" width="3.75" outlineLevel="1"/>
    <col customWidth="1" hidden="1" min="59" max="59" width="4.13" outlineLevel="1"/>
    <col customWidth="1" min="60" max="60" width="12.13"/>
    <col customWidth="1" min="61" max="63" width="5.13"/>
    <col customWidth="1" hidden="1" min="64" max="67" width="5.13"/>
    <col customWidth="1" min="68" max="68" width="10.88"/>
    <col customWidth="1" min="69" max="69" width="14.13"/>
    <col customWidth="1" min="70" max="70" width="13.0"/>
    <col customWidth="1" min="71" max="71" width="12.38"/>
    <col customWidth="1" min="72" max="72" width="10.13"/>
    <col customWidth="1" min="73" max="92" width="3.75"/>
  </cols>
  <sheetData>
    <row r="1" ht="21.0" customHeight="1">
      <c r="A1" s="21" t="str">
        <f>DATOS!D3</f>
        <v>EST 128</v>
      </c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4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5" t="s">
        <v>41</v>
      </c>
      <c r="BS1" s="26"/>
      <c r="BT1" s="27">
        <v>0.2</v>
      </c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</row>
    <row r="2" ht="21.0" customHeight="1">
      <c r="A2" s="28" t="s">
        <v>42</v>
      </c>
      <c r="B2" s="29" t="str">
        <f>DATOS!D4</f>
        <v>Omar Mata</v>
      </c>
      <c r="C2" s="30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4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31" t="s">
        <v>43</v>
      </c>
      <c r="BS2" s="3"/>
      <c r="BT2" s="32">
        <v>0.2</v>
      </c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</row>
    <row r="3" ht="21.0" customHeight="1">
      <c r="A3" s="33" t="s">
        <v>5</v>
      </c>
      <c r="B3" s="34">
        <f>DATOS!D5</f>
        <v>3</v>
      </c>
      <c r="C3" s="34" t="str">
        <f>DATOS!D6</f>
        <v>E</v>
      </c>
      <c r="D3" s="23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6" t="s">
        <v>44</v>
      </c>
      <c r="BJ3" s="37"/>
      <c r="BK3" s="37"/>
      <c r="BL3" s="37"/>
      <c r="BM3" s="37"/>
      <c r="BN3" s="37"/>
      <c r="BO3" s="37"/>
      <c r="BP3" s="30"/>
      <c r="BQ3" s="35"/>
      <c r="BR3" s="38" t="s">
        <v>44</v>
      </c>
      <c r="BS3" s="3"/>
      <c r="BT3" s="39">
        <v>0.2</v>
      </c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</row>
    <row r="4" ht="21.0" customHeight="1">
      <c r="A4" s="40" t="s">
        <v>45</v>
      </c>
      <c r="B4" s="41" t="s">
        <v>46</v>
      </c>
      <c r="C4" s="30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42" t="s">
        <v>61</v>
      </c>
      <c r="BJ4" s="182" t="s">
        <v>62</v>
      </c>
      <c r="BK4" s="182" t="s">
        <v>63</v>
      </c>
      <c r="BL4" s="43"/>
      <c r="BM4" s="43"/>
      <c r="BN4" s="43"/>
      <c r="BO4" s="43"/>
      <c r="BP4" s="44"/>
      <c r="BQ4" s="23"/>
      <c r="BR4" s="45" t="s">
        <v>48</v>
      </c>
      <c r="BS4" s="3"/>
      <c r="BT4" s="46">
        <v>0.1</v>
      </c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</row>
    <row r="5" ht="21.0" customHeight="1">
      <c r="A5" s="47"/>
      <c r="B5" s="48"/>
      <c r="C5" s="48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49"/>
      <c r="BJ5" s="183"/>
      <c r="BK5" s="183"/>
      <c r="BL5" s="50"/>
      <c r="BM5" s="50"/>
      <c r="BN5" s="50"/>
      <c r="BO5" s="50"/>
      <c r="BP5" s="51"/>
      <c r="BQ5" s="23"/>
      <c r="BR5" s="52" t="s">
        <v>49</v>
      </c>
      <c r="BS5" s="3"/>
      <c r="BT5" s="53">
        <v>0.1</v>
      </c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</row>
    <row r="6" ht="21.0" customHeight="1">
      <c r="A6" s="47"/>
      <c r="B6" s="48"/>
      <c r="C6" s="48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49"/>
      <c r="BJ6" s="183"/>
      <c r="BK6" s="183"/>
      <c r="BL6" s="50"/>
      <c r="BM6" s="50"/>
      <c r="BN6" s="50"/>
      <c r="BO6" s="50"/>
      <c r="BP6" s="51"/>
      <c r="BQ6" s="23"/>
      <c r="BR6" s="54" t="s">
        <v>50</v>
      </c>
      <c r="BS6" s="3"/>
      <c r="BT6" s="55">
        <v>0.2</v>
      </c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</row>
    <row r="7" ht="21.0" customHeight="1">
      <c r="A7" s="47"/>
      <c r="C7" s="48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49"/>
      <c r="BJ7" s="183"/>
      <c r="BK7" s="183"/>
      <c r="BL7" s="50"/>
      <c r="BM7" s="50"/>
      <c r="BN7" s="50"/>
      <c r="BO7" s="50"/>
      <c r="BP7" s="51"/>
      <c r="BQ7" s="23"/>
      <c r="BR7" s="56" t="s">
        <v>51</v>
      </c>
      <c r="BS7" s="57"/>
      <c r="BT7" s="58">
        <f>SUM(BT1:BT6)</f>
        <v>1</v>
      </c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</row>
    <row r="8" ht="16.5" customHeight="1">
      <c r="A8" s="47"/>
      <c r="B8" s="59"/>
      <c r="C8" s="59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49"/>
      <c r="BJ8" s="183"/>
      <c r="BK8" s="183"/>
      <c r="BL8" s="50"/>
      <c r="BM8" s="50"/>
      <c r="BN8" s="50"/>
      <c r="BO8" s="50"/>
      <c r="BP8" s="51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</row>
    <row r="9" ht="19.5" customHeight="1">
      <c r="A9" s="24"/>
      <c r="B9" s="23"/>
      <c r="C9" s="23"/>
      <c r="D9" s="60" t="s">
        <v>41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0"/>
      <c r="AD9" s="61" t="s">
        <v>43</v>
      </c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62"/>
      <c r="BJ9" s="184"/>
      <c r="BK9" s="184"/>
      <c r="BL9" s="63"/>
      <c r="BM9" s="63"/>
      <c r="BN9" s="63"/>
      <c r="BO9" s="63"/>
      <c r="BP9" s="64"/>
      <c r="BQ9" s="65" t="s">
        <v>48</v>
      </c>
      <c r="BR9" s="66" t="s">
        <v>49</v>
      </c>
      <c r="BS9" s="67" t="s">
        <v>52</v>
      </c>
      <c r="BT9" s="68" t="s">
        <v>53</v>
      </c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</row>
    <row r="10" ht="42.0" customHeight="1">
      <c r="A10" s="69" t="s">
        <v>9</v>
      </c>
      <c r="B10" s="70" t="s">
        <v>54</v>
      </c>
      <c r="C10" s="71"/>
      <c r="D10" s="72">
        <v>1.0</v>
      </c>
      <c r="E10" s="73">
        <v>2.0</v>
      </c>
      <c r="F10" s="73">
        <v>3.0</v>
      </c>
      <c r="G10" s="73">
        <v>4.0</v>
      </c>
      <c r="H10" s="73">
        <v>5.0</v>
      </c>
      <c r="I10" s="73">
        <v>6.0</v>
      </c>
      <c r="J10" s="73">
        <v>7.0</v>
      </c>
      <c r="K10" s="73">
        <v>8.0</v>
      </c>
      <c r="L10" s="73">
        <v>9.0</v>
      </c>
      <c r="M10" s="73">
        <v>10.0</v>
      </c>
      <c r="N10" s="73">
        <v>11.0</v>
      </c>
      <c r="O10" s="73">
        <v>12.0</v>
      </c>
      <c r="P10" s="73">
        <v>13.0</v>
      </c>
      <c r="Q10" s="73">
        <v>14.0</v>
      </c>
      <c r="R10" s="73">
        <v>15.0</v>
      </c>
      <c r="S10" s="73">
        <v>16.0</v>
      </c>
      <c r="T10" s="73">
        <v>17.0</v>
      </c>
      <c r="U10" s="73">
        <v>18.0</v>
      </c>
      <c r="V10" s="73">
        <v>19.0</v>
      </c>
      <c r="W10" s="74">
        <v>20.0</v>
      </c>
      <c r="X10" s="73">
        <v>21.0</v>
      </c>
      <c r="Y10" s="73">
        <v>22.0</v>
      </c>
      <c r="Z10" s="73">
        <v>23.0</v>
      </c>
      <c r="AA10" s="73">
        <v>24.0</v>
      </c>
      <c r="AB10" s="73">
        <v>25.0</v>
      </c>
      <c r="AC10" s="76" t="s">
        <v>55</v>
      </c>
      <c r="AD10" s="72">
        <v>1.0</v>
      </c>
      <c r="AE10" s="73">
        <v>2.0</v>
      </c>
      <c r="AF10" s="73">
        <v>3.0</v>
      </c>
      <c r="AG10" s="73">
        <v>4.0</v>
      </c>
      <c r="AH10" s="73">
        <v>5.0</v>
      </c>
      <c r="AI10" s="73">
        <v>6.0</v>
      </c>
      <c r="AJ10" s="73">
        <v>7.0</v>
      </c>
      <c r="AK10" s="73">
        <v>8.0</v>
      </c>
      <c r="AL10" s="73">
        <v>9.0</v>
      </c>
      <c r="AM10" s="73">
        <v>10.0</v>
      </c>
      <c r="AN10" s="73">
        <v>11.0</v>
      </c>
      <c r="AO10" s="73">
        <v>12.0</v>
      </c>
      <c r="AP10" s="73">
        <v>13.0</v>
      </c>
      <c r="AQ10" s="73">
        <v>14.0</v>
      </c>
      <c r="AR10" s="73">
        <v>15.0</v>
      </c>
      <c r="AS10" s="73">
        <v>16.0</v>
      </c>
      <c r="AT10" s="73">
        <v>17.0</v>
      </c>
      <c r="AU10" s="73">
        <v>18.0</v>
      </c>
      <c r="AV10" s="73">
        <v>19.0</v>
      </c>
      <c r="AW10" s="73">
        <v>20.0</v>
      </c>
      <c r="AX10" s="73">
        <v>21.0</v>
      </c>
      <c r="AY10" s="73">
        <v>22.0</v>
      </c>
      <c r="AZ10" s="73">
        <v>23.0</v>
      </c>
      <c r="BA10" s="73">
        <v>24.0</v>
      </c>
      <c r="BB10" s="73">
        <v>25.0</v>
      </c>
      <c r="BC10" s="73">
        <v>26.0</v>
      </c>
      <c r="BD10" s="73">
        <v>27.0</v>
      </c>
      <c r="BE10" s="73">
        <v>28.0</v>
      </c>
      <c r="BF10" s="73">
        <v>29.0</v>
      </c>
      <c r="BG10" s="75">
        <v>30.0</v>
      </c>
      <c r="BH10" s="77" t="s">
        <v>56</v>
      </c>
      <c r="BI10" s="78">
        <v>1.0</v>
      </c>
      <c r="BJ10" s="185">
        <v>2.0</v>
      </c>
      <c r="BK10" s="185">
        <v>3.0</v>
      </c>
      <c r="BL10" s="79">
        <v>2.0</v>
      </c>
      <c r="BM10" s="79">
        <v>3.0</v>
      </c>
      <c r="BN10" s="79">
        <v>4.0</v>
      </c>
      <c r="BO10" s="80">
        <v>5.0</v>
      </c>
      <c r="BP10" s="81" t="s">
        <v>57</v>
      </c>
      <c r="BQ10" s="82"/>
      <c r="BR10" s="83"/>
      <c r="BS10" s="84"/>
      <c r="BT10" s="83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</row>
    <row r="11" ht="15.75" customHeight="1">
      <c r="A11" s="86">
        <v>1.0</v>
      </c>
      <c r="B11" s="87" t="str">
        <f>DATOS!C11</f>
        <v>ARMENDARIZ CUELLAR MIA ISABELLA</v>
      </c>
      <c r="C11" s="88"/>
      <c r="D11" s="89">
        <v>10.0</v>
      </c>
      <c r="E11" s="90">
        <v>9.8</v>
      </c>
      <c r="F11" s="90">
        <v>10.0</v>
      </c>
      <c r="G11" s="90">
        <v>9.0</v>
      </c>
      <c r="H11" s="90">
        <v>10.0</v>
      </c>
      <c r="I11" s="90">
        <v>9.6</v>
      </c>
      <c r="J11" s="90">
        <v>9.8</v>
      </c>
      <c r="K11" s="90">
        <v>10.0</v>
      </c>
      <c r="L11" s="90">
        <v>9.4</v>
      </c>
      <c r="M11" s="90">
        <v>10.0</v>
      </c>
      <c r="N11" s="90">
        <v>10.0</v>
      </c>
      <c r="O11" s="91">
        <v>9.2</v>
      </c>
      <c r="P11" s="91">
        <v>9.8</v>
      </c>
      <c r="Q11" s="91">
        <v>10.0</v>
      </c>
      <c r="R11" s="91">
        <v>10.0</v>
      </c>
      <c r="S11" s="91">
        <v>9.4</v>
      </c>
      <c r="T11" s="91">
        <v>10.0</v>
      </c>
      <c r="U11" s="91">
        <v>9.2</v>
      </c>
      <c r="V11" s="91">
        <v>8.8</v>
      </c>
      <c r="W11" s="91">
        <v>9.4</v>
      </c>
      <c r="X11" s="91">
        <v>9.2</v>
      </c>
      <c r="Y11" s="91">
        <v>10.0</v>
      </c>
      <c r="Z11" s="91">
        <v>9.8</v>
      </c>
      <c r="AA11" s="91">
        <v>9.6</v>
      </c>
      <c r="AB11" s="91">
        <v>10.0</v>
      </c>
      <c r="AC11" s="94">
        <f t="shared" ref="AC11:AC40" si="1">ROUND(AVERAGE(D11:AB11),0)</f>
        <v>10</v>
      </c>
      <c r="AD11" s="95">
        <v>9.0</v>
      </c>
      <c r="AE11" s="91"/>
      <c r="AF11" s="91"/>
      <c r="AG11" s="91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2"/>
      <c r="BF11" s="92"/>
      <c r="BG11" s="93"/>
      <c r="BH11" s="96">
        <f t="shared" ref="BH11:BH40" si="2">AVERAGE(AD11:BG11)</f>
        <v>9</v>
      </c>
      <c r="BI11" s="97">
        <v>10.0</v>
      </c>
      <c r="BJ11" s="186">
        <v>10.0</v>
      </c>
      <c r="BK11" s="186">
        <v>10.0</v>
      </c>
      <c r="BL11" s="98"/>
      <c r="BM11" s="98"/>
      <c r="BN11" s="98"/>
      <c r="BO11" s="99"/>
      <c r="BP11" s="94">
        <f t="shared" ref="BP11:BP27" si="3">AVERAGE(BI11:BO11)</f>
        <v>10</v>
      </c>
      <c r="BQ11" s="100">
        <v>10.0</v>
      </c>
      <c r="BR11" s="101">
        <v>10.0</v>
      </c>
      <c r="BS11" s="102">
        <v>8.5</v>
      </c>
      <c r="BT11" s="96">
        <f t="shared" ref="BT11:BT27" si="4">ROUND((AC11*$BT$1)+(BH11*$BT$2)+(BP11*$BT$3)+(BQ11*$BT$4)+(BR11*$BT$5)+(BS11*$BT$6),0)</f>
        <v>10</v>
      </c>
      <c r="BU11" s="10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</row>
    <row r="12" ht="15.75" customHeight="1">
      <c r="A12" s="104">
        <v>2.0</v>
      </c>
      <c r="B12" s="105" t="str">
        <f>DATOS!C12</f>
        <v>BLANCO SALGADO LLUVIA CRISTAL</v>
      </c>
      <c r="C12" s="106"/>
      <c r="D12" s="107">
        <v>10.0</v>
      </c>
      <c r="E12" s="108">
        <v>10.0</v>
      </c>
      <c r="F12" s="108">
        <v>10.0</v>
      </c>
      <c r="G12" s="108">
        <v>9.6</v>
      </c>
      <c r="H12" s="108">
        <v>10.0</v>
      </c>
      <c r="I12" s="108">
        <v>10.0</v>
      </c>
      <c r="J12" s="108">
        <v>10.0</v>
      </c>
      <c r="K12" s="108">
        <v>9.8</v>
      </c>
      <c r="L12" s="108">
        <v>9.0</v>
      </c>
      <c r="M12" s="108">
        <v>8.8</v>
      </c>
      <c r="N12" s="108">
        <v>9.0</v>
      </c>
      <c r="O12" s="109">
        <v>9.4</v>
      </c>
      <c r="P12" s="109">
        <v>9.0</v>
      </c>
      <c r="Q12" s="109">
        <v>10.0</v>
      </c>
      <c r="R12" s="109">
        <v>10.0</v>
      </c>
      <c r="S12" s="109">
        <v>9.0</v>
      </c>
      <c r="T12" s="109">
        <v>9.0</v>
      </c>
      <c r="U12" s="109">
        <v>9.6</v>
      </c>
      <c r="V12" s="109">
        <v>10.0</v>
      </c>
      <c r="W12" s="109">
        <v>9.0</v>
      </c>
      <c r="X12" s="109">
        <v>10.0</v>
      </c>
      <c r="Y12" s="109">
        <v>9.6</v>
      </c>
      <c r="Z12" s="109">
        <v>10.0</v>
      </c>
      <c r="AA12" s="109">
        <v>9.6</v>
      </c>
      <c r="AB12" s="109">
        <v>10.0</v>
      </c>
      <c r="AC12" s="196">
        <f t="shared" si="1"/>
        <v>10</v>
      </c>
      <c r="AD12" s="113">
        <v>8.0</v>
      </c>
      <c r="AE12" s="114"/>
      <c r="AF12" s="114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6"/>
      <c r="BH12" s="117">
        <f t="shared" si="2"/>
        <v>8</v>
      </c>
      <c r="BI12" s="118">
        <v>10.0</v>
      </c>
      <c r="BJ12" s="187">
        <v>10.0</v>
      </c>
      <c r="BK12" s="187">
        <v>10.0</v>
      </c>
      <c r="BL12" s="119"/>
      <c r="BM12" s="119"/>
      <c r="BN12" s="119"/>
      <c r="BO12" s="120"/>
      <c r="BP12" s="121">
        <f t="shared" si="3"/>
        <v>10</v>
      </c>
      <c r="BQ12" s="150">
        <v>10.0</v>
      </c>
      <c r="BR12" s="123">
        <v>10.0</v>
      </c>
      <c r="BS12" s="124">
        <v>9.5</v>
      </c>
      <c r="BT12" s="197">
        <f t="shared" si="4"/>
        <v>10</v>
      </c>
      <c r="BU12" s="10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</row>
    <row r="13" ht="15.75" customHeight="1">
      <c r="A13" s="126">
        <v>3.0</v>
      </c>
      <c r="B13" s="127" t="str">
        <f>DATOS!C13</f>
        <v>CANTU AGUILAR ASHLEY DAYANA</v>
      </c>
      <c r="C13" s="106"/>
      <c r="D13" s="128">
        <v>8.8</v>
      </c>
      <c r="E13" s="129">
        <v>6.0</v>
      </c>
      <c r="F13" s="129">
        <v>7.9</v>
      </c>
      <c r="G13" s="129">
        <v>5.1</v>
      </c>
      <c r="H13" s="129">
        <v>5.2</v>
      </c>
      <c r="I13" s="129">
        <v>5.6</v>
      </c>
      <c r="J13" s="129">
        <v>8.1</v>
      </c>
      <c r="K13" s="129">
        <v>7.1</v>
      </c>
      <c r="L13" s="129">
        <v>5.3</v>
      </c>
      <c r="M13" s="129">
        <v>6.3</v>
      </c>
      <c r="N13" s="129">
        <v>6.4</v>
      </c>
      <c r="O13" s="130">
        <v>7.6</v>
      </c>
      <c r="P13" s="130">
        <v>6.9</v>
      </c>
      <c r="Q13" s="130">
        <v>8.4</v>
      </c>
      <c r="R13" s="130">
        <v>9.3</v>
      </c>
      <c r="S13" s="130">
        <v>8.5</v>
      </c>
      <c r="T13" s="130">
        <v>6.1</v>
      </c>
      <c r="U13" s="130">
        <v>8.0</v>
      </c>
      <c r="V13" s="130">
        <v>6.2</v>
      </c>
      <c r="W13" s="130">
        <v>7.2</v>
      </c>
      <c r="X13" s="130">
        <v>7.0</v>
      </c>
      <c r="Y13" s="130">
        <v>7.4</v>
      </c>
      <c r="Z13" s="130">
        <v>5.8</v>
      </c>
      <c r="AA13" s="130">
        <v>6.5</v>
      </c>
      <c r="AB13" s="130">
        <v>7.0</v>
      </c>
      <c r="AC13" s="94">
        <f t="shared" si="1"/>
        <v>7</v>
      </c>
      <c r="AD13" s="134">
        <v>7.0</v>
      </c>
      <c r="AE13" s="135"/>
      <c r="AF13" s="135"/>
      <c r="AG13" s="135"/>
      <c r="AH13" s="135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/>
      <c r="BC13" s="136"/>
      <c r="BD13" s="136"/>
      <c r="BE13" s="136"/>
      <c r="BF13" s="136"/>
      <c r="BG13" s="137"/>
      <c r="BH13" s="138">
        <f t="shared" si="2"/>
        <v>7</v>
      </c>
      <c r="BI13" s="139">
        <v>8.0</v>
      </c>
      <c r="BJ13" s="188">
        <v>9.0</v>
      </c>
      <c r="BK13" s="188">
        <v>10.0</v>
      </c>
      <c r="BL13" s="140"/>
      <c r="BM13" s="140"/>
      <c r="BN13" s="140"/>
      <c r="BO13" s="141"/>
      <c r="BP13" s="142">
        <f t="shared" si="3"/>
        <v>9</v>
      </c>
      <c r="BQ13" s="152">
        <v>8.0</v>
      </c>
      <c r="BR13" s="148">
        <v>7.0</v>
      </c>
      <c r="BS13" s="145">
        <v>6.5</v>
      </c>
      <c r="BT13" s="96">
        <f t="shared" si="4"/>
        <v>7</v>
      </c>
      <c r="BU13" s="10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</row>
    <row r="14" ht="15.75" customHeight="1">
      <c r="A14" s="104">
        <v>4.0</v>
      </c>
      <c r="B14" s="105" t="str">
        <f>DATOS!C14</f>
        <v>CRUZ HERNÁNDEZ ALAN ABDIEL</v>
      </c>
      <c r="C14" s="106"/>
      <c r="D14" s="107">
        <v>8.0</v>
      </c>
      <c r="E14" s="108">
        <v>9.8</v>
      </c>
      <c r="F14" s="108">
        <v>7.1</v>
      </c>
      <c r="G14" s="108">
        <v>7.0</v>
      </c>
      <c r="H14" s="108">
        <v>6.6</v>
      </c>
      <c r="I14" s="108">
        <v>8.8</v>
      </c>
      <c r="J14" s="108">
        <v>6.7</v>
      </c>
      <c r="K14" s="108">
        <v>8.3</v>
      </c>
      <c r="L14" s="108">
        <v>6.9</v>
      </c>
      <c r="M14" s="108">
        <v>10.0</v>
      </c>
      <c r="N14" s="108">
        <v>7.6</v>
      </c>
      <c r="O14" s="109">
        <v>7.7</v>
      </c>
      <c r="P14" s="109">
        <v>7.5</v>
      </c>
      <c r="Q14" s="109">
        <v>9.6</v>
      </c>
      <c r="R14" s="109">
        <v>7.9</v>
      </c>
      <c r="S14" s="109">
        <v>7.3</v>
      </c>
      <c r="T14" s="109">
        <v>9.0</v>
      </c>
      <c r="U14" s="109">
        <v>9.9</v>
      </c>
      <c r="V14" s="109">
        <v>9.4</v>
      </c>
      <c r="W14" s="109">
        <v>9.6</v>
      </c>
      <c r="X14" s="109">
        <v>8.6</v>
      </c>
      <c r="Y14" s="109">
        <v>8.9</v>
      </c>
      <c r="Z14" s="109">
        <v>9.2</v>
      </c>
      <c r="AA14" s="109">
        <v>9.3</v>
      </c>
      <c r="AB14" s="109">
        <v>8.0</v>
      </c>
      <c r="AC14" s="196">
        <f t="shared" si="1"/>
        <v>8</v>
      </c>
      <c r="AD14" s="113">
        <v>8.0</v>
      </c>
      <c r="AE14" s="114"/>
      <c r="AF14" s="115"/>
      <c r="AG14" s="115"/>
      <c r="AH14" s="114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6"/>
      <c r="BH14" s="117">
        <f t="shared" si="2"/>
        <v>8</v>
      </c>
      <c r="BI14" s="118">
        <v>8.0</v>
      </c>
      <c r="BJ14" s="187">
        <v>9.0</v>
      </c>
      <c r="BK14" s="187">
        <v>10.0</v>
      </c>
      <c r="BL14" s="119"/>
      <c r="BM14" s="119"/>
      <c r="BN14" s="119"/>
      <c r="BO14" s="120"/>
      <c r="BP14" s="121">
        <f t="shared" si="3"/>
        <v>9</v>
      </c>
      <c r="BQ14" s="150">
        <v>8.0</v>
      </c>
      <c r="BR14" s="123">
        <v>8.0</v>
      </c>
      <c r="BS14" s="124">
        <v>8.5</v>
      </c>
      <c r="BT14" s="197">
        <f t="shared" si="4"/>
        <v>8</v>
      </c>
      <c r="BU14" s="10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</row>
    <row r="15" ht="15.75" customHeight="1">
      <c r="A15" s="126">
        <v>5.0</v>
      </c>
      <c r="B15" s="127" t="str">
        <f>DATOS!C15</f>
        <v>DE LEON SALINAS VANESA MONSERRAT</v>
      </c>
      <c r="C15" s="106"/>
      <c r="D15" s="128">
        <v>8.0</v>
      </c>
      <c r="E15" s="129">
        <v>8.9</v>
      </c>
      <c r="F15" s="129">
        <v>7.4</v>
      </c>
      <c r="G15" s="129">
        <v>8.1</v>
      </c>
      <c r="H15" s="129">
        <v>9.0</v>
      </c>
      <c r="I15" s="129">
        <v>9.8</v>
      </c>
      <c r="J15" s="129">
        <v>6.9</v>
      </c>
      <c r="K15" s="129">
        <v>9.1</v>
      </c>
      <c r="L15" s="129">
        <v>9.6</v>
      </c>
      <c r="M15" s="129">
        <v>10.0</v>
      </c>
      <c r="N15" s="129">
        <v>7.7</v>
      </c>
      <c r="O15" s="130">
        <v>7.9</v>
      </c>
      <c r="P15" s="130">
        <v>9.3</v>
      </c>
      <c r="Q15" s="130">
        <v>9.9</v>
      </c>
      <c r="R15" s="130">
        <v>7.2</v>
      </c>
      <c r="S15" s="130">
        <v>7.0</v>
      </c>
      <c r="T15" s="130">
        <v>9.7</v>
      </c>
      <c r="U15" s="130">
        <v>7.1</v>
      </c>
      <c r="V15" s="130">
        <v>7.3</v>
      </c>
      <c r="W15" s="130">
        <v>8.7</v>
      </c>
      <c r="X15" s="130">
        <v>8.8</v>
      </c>
      <c r="Y15" s="130">
        <v>7.5</v>
      </c>
      <c r="Z15" s="130">
        <v>9.4</v>
      </c>
      <c r="AA15" s="130">
        <v>9.9</v>
      </c>
      <c r="AB15" s="130">
        <v>8.0</v>
      </c>
      <c r="AC15" s="94">
        <f t="shared" si="1"/>
        <v>8</v>
      </c>
      <c r="AD15" s="147">
        <v>10.0</v>
      </c>
      <c r="AE15" s="136"/>
      <c r="AF15" s="136"/>
      <c r="AG15" s="136"/>
      <c r="AH15" s="135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7"/>
      <c r="BH15" s="138">
        <f t="shared" si="2"/>
        <v>10</v>
      </c>
      <c r="BI15" s="139">
        <v>8.0</v>
      </c>
      <c r="BJ15" s="188">
        <v>9.0</v>
      </c>
      <c r="BK15" s="188">
        <v>10.0</v>
      </c>
      <c r="BL15" s="140"/>
      <c r="BM15" s="140"/>
      <c r="BN15" s="140"/>
      <c r="BO15" s="141"/>
      <c r="BP15" s="142">
        <f t="shared" si="3"/>
        <v>9</v>
      </c>
      <c r="BQ15" s="152">
        <v>7.0</v>
      </c>
      <c r="BR15" s="148">
        <v>8.0</v>
      </c>
      <c r="BS15" s="145">
        <v>7.0</v>
      </c>
      <c r="BT15" s="96">
        <f t="shared" si="4"/>
        <v>8</v>
      </c>
      <c r="BU15" s="10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</row>
    <row r="16" ht="15.75" customHeight="1">
      <c r="A16" s="104">
        <v>6.0</v>
      </c>
      <c r="B16" s="105" t="str">
        <f>DATOS!C16</f>
        <v>DORIA GUERRA DAILY ALESSANDRA</v>
      </c>
      <c r="C16" s="106"/>
      <c r="D16" s="107">
        <v>9.4</v>
      </c>
      <c r="E16" s="108">
        <v>8.8</v>
      </c>
      <c r="F16" s="108">
        <v>10.0</v>
      </c>
      <c r="G16" s="108">
        <v>9.8</v>
      </c>
      <c r="H16" s="108">
        <v>10.0</v>
      </c>
      <c r="I16" s="108">
        <v>10.0</v>
      </c>
      <c r="J16" s="108">
        <v>10.0</v>
      </c>
      <c r="K16" s="108">
        <v>9.0</v>
      </c>
      <c r="L16" s="108">
        <v>10.0</v>
      </c>
      <c r="M16" s="108">
        <v>10.0</v>
      </c>
      <c r="N16" s="108">
        <v>10.0</v>
      </c>
      <c r="O16" s="109">
        <v>10.0</v>
      </c>
      <c r="P16" s="109">
        <v>9.0</v>
      </c>
      <c r="Q16" s="109">
        <v>10.0</v>
      </c>
      <c r="R16" s="109">
        <v>10.0</v>
      </c>
      <c r="S16" s="109">
        <v>8.8</v>
      </c>
      <c r="T16" s="109">
        <v>9.0</v>
      </c>
      <c r="U16" s="109">
        <v>9.4</v>
      </c>
      <c r="V16" s="109">
        <v>10.0</v>
      </c>
      <c r="W16" s="109">
        <v>9.6</v>
      </c>
      <c r="X16" s="109">
        <v>10.0</v>
      </c>
      <c r="Y16" s="109">
        <v>10.0</v>
      </c>
      <c r="Z16" s="109">
        <v>10.0</v>
      </c>
      <c r="AA16" s="109">
        <v>10.0</v>
      </c>
      <c r="AB16" s="109">
        <v>10.0</v>
      </c>
      <c r="AC16" s="196">
        <f t="shared" si="1"/>
        <v>10</v>
      </c>
      <c r="AD16" s="149">
        <v>10.0</v>
      </c>
      <c r="AE16" s="115"/>
      <c r="AF16" s="114"/>
      <c r="AG16" s="114"/>
      <c r="AH16" s="114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6"/>
      <c r="BH16" s="117">
        <f t="shared" si="2"/>
        <v>10</v>
      </c>
      <c r="BI16" s="118">
        <v>10.0</v>
      </c>
      <c r="BJ16" s="187">
        <v>10.0</v>
      </c>
      <c r="BK16" s="187">
        <v>10.0</v>
      </c>
      <c r="BL16" s="119"/>
      <c r="BM16" s="119"/>
      <c r="BN16" s="119"/>
      <c r="BO16" s="120"/>
      <c r="BP16" s="121">
        <f t="shared" si="3"/>
        <v>10</v>
      </c>
      <c r="BQ16" s="150">
        <v>10.0</v>
      </c>
      <c r="BR16" s="123">
        <v>10.0</v>
      </c>
      <c r="BS16" s="124">
        <v>9.0</v>
      </c>
      <c r="BT16" s="197">
        <f t="shared" si="4"/>
        <v>10</v>
      </c>
      <c r="BU16" s="151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</row>
    <row r="17" ht="15.75" customHeight="1">
      <c r="A17" s="126">
        <v>7.0</v>
      </c>
      <c r="B17" s="127" t="str">
        <f>DATOS!C17</f>
        <v>ELIZONDO ROMERO MONTSERRAT GUADALUPE</v>
      </c>
      <c r="C17" s="106"/>
      <c r="D17" s="128">
        <v>9.6</v>
      </c>
      <c r="E17" s="129">
        <v>7.8</v>
      </c>
      <c r="F17" s="129">
        <v>8.6</v>
      </c>
      <c r="G17" s="129">
        <v>8.8</v>
      </c>
      <c r="H17" s="129">
        <v>9.6</v>
      </c>
      <c r="I17" s="129">
        <v>9.4</v>
      </c>
      <c r="J17" s="129">
        <v>8.8</v>
      </c>
      <c r="K17" s="129">
        <v>8.8</v>
      </c>
      <c r="L17" s="129">
        <v>8.2</v>
      </c>
      <c r="M17" s="129">
        <v>8.4</v>
      </c>
      <c r="N17" s="129">
        <v>9.8</v>
      </c>
      <c r="O17" s="130">
        <v>9.2</v>
      </c>
      <c r="P17" s="130">
        <v>8.0</v>
      </c>
      <c r="Q17" s="130">
        <v>7.8</v>
      </c>
      <c r="R17" s="130">
        <v>10.0</v>
      </c>
      <c r="S17" s="130">
        <v>10.0</v>
      </c>
      <c r="T17" s="130">
        <v>7.8</v>
      </c>
      <c r="U17" s="130">
        <v>8.8</v>
      </c>
      <c r="V17" s="130">
        <v>8.6</v>
      </c>
      <c r="W17" s="130">
        <v>7.8</v>
      </c>
      <c r="X17" s="130">
        <v>9.6</v>
      </c>
      <c r="Y17" s="130">
        <v>9.6</v>
      </c>
      <c r="Z17" s="130">
        <v>9.0</v>
      </c>
      <c r="AA17" s="130">
        <v>8.0</v>
      </c>
      <c r="AB17" s="130">
        <v>9.0</v>
      </c>
      <c r="AC17" s="94">
        <f t="shared" si="1"/>
        <v>9</v>
      </c>
      <c r="AD17" s="147">
        <v>9.0</v>
      </c>
      <c r="AE17" s="136"/>
      <c r="AF17" s="135"/>
      <c r="AG17" s="135"/>
      <c r="AH17" s="135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7"/>
      <c r="BH17" s="138">
        <f t="shared" si="2"/>
        <v>9</v>
      </c>
      <c r="BI17" s="139">
        <v>8.0</v>
      </c>
      <c r="BJ17" s="188">
        <v>9.0</v>
      </c>
      <c r="BK17" s="188">
        <v>10.0</v>
      </c>
      <c r="BL17" s="140"/>
      <c r="BM17" s="140"/>
      <c r="BN17" s="140"/>
      <c r="BO17" s="141"/>
      <c r="BP17" s="142">
        <f t="shared" si="3"/>
        <v>9</v>
      </c>
      <c r="BQ17" s="152">
        <v>9.0</v>
      </c>
      <c r="BR17" s="148">
        <v>9.0</v>
      </c>
      <c r="BS17" s="145">
        <v>9.5</v>
      </c>
      <c r="BT17" s="96">
        <f t="shared" si="4"/>
        <v>9</v>
      </c>
      <c r="BU17" s="151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</row>
    <row r="18" ht="15.75" customHeight="1">
      <c r="A18" s="104">
        <v>8.0</v>
      </c>
      <c r="B18" s="105" t="str">
        <f>DATOS!C18</f>
        <v>GARCIA PINEDA IKER ALEJANDRO</v>
      </c>
      <c r="C18" s="106"/>
      <c r="D18" s="107">
        <v>8.2</v>
      </c>
      <c r="E18" s="108">
        <v>7.2</v>
      </c>
      <c r="F18" s="108">
        <v>8.1</v>
      </c>
      <c r="G18" s="108">
        <v>9.8</v>
      </c>
      <c r="H18" s="108">
        <v>6.8</v>
      </c>
      <c r="I18" s="108">
        <v>8.4</v>
      </c>
      <c r="J18" s="108">
        <v>8.5</v>
      </c>
      <c r="K18" s="108">
        <v>7.0</v>
      </c>
      <c r="L18" s="108">
        <v>9.9</v>
      </c>
      <c r="M18" s="108">
        <v>9.7</v>
      </c>
      <c r="N18" s="108">
        <v>9.6</v>
      </c>
      <c r="O18" s="109">
        <v>8.0</v>
      </c>
      <c r="P18" s="109">
        <v>9.5</v>
      </c>
      <c r="Q18" s="109">
        <v>7.8</v>
      </c>
      <c r="R18" s="109">
        <v>6.9</v>
      </c>
      <c r="S18" s="109">
        <v>9.3</v>
      </c>
      <c r="T18" s="109">
        <v>7.3</v>
      </c>
      <c r="U18" s="109">
        <v>8.9</v>
      </c>
      <c r="V18" s="109">
        <v>10.0</v>
      </c>
      <c r="W18" s="109">
        <v>10.0</v>
      </c>
      <c r="X18" s="109">
        <v>6.5</v>
      </c>
      <c r="Y18" s="109">
        <v>9.4</v>
      </c>
      <c r="Z18" s="109">
        <v>8.6</v>
      </c>
      <c r="AA18" s="109">
        <v>9.2</v>
      </c>
      <c r="AB18" s="109">
        <v>9.0</v>
      </c>
      <c r="AC18" s="196">
        <f t="shared" si="1"/>
        <v>9</v>
      </c>
      <c r="AD18" s="149">
        <v>10.0</v>
      </c>
      <c r="AE18" s="114"/>
      <c r="AF18" s="114"/>
      <c r="AG18" s="114"/>
      <c r="AH18" s="114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6"/>
      <c r="BH18" s="117">
        <f t="shared" si="2"/>
        <v>10</v>
      </c>
      <c r="BI18" s="118">
        <v>7.0</v>
      </c>
      <c r="BJ18" s="187">
        <v>8.0</v>
      </c>
      <c r="BK18" s="187">
        <v>9.0</v>
      </c>
      <c r="BL18" s="119"/>
      <c r="BM18" s="119"/>
      <c r="BN18" s="119"/>
      <c r="BO18" s="120"/>
      <c r="BP18" s="121">
        <f t="shared" si="3"/>
        <v>8</v>
      </c>
      <c r="BQ18" s="150">
        <v>9.0</v>
      </c>
      <c r="BR18" s="123">
        <v>9.0</v>
      </c>
      <c r="BS18" s="124">
        <v>9.5</v>
      </c>
      <c r="BT18" s="197">
        <f t="shared" si="4"/>
        <v>9</v>
      </c>
      <c r="BU18" s="10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</row>
    <row r="19" ht="15.75" customHeight="1">
      <c r="A19" s="126">
        <v>9.0</v>
      </c>
      <c r="B19" s="127" t="str">
        <f>DATOS!C19</f>
        <v>GONZÁLEZ HERNÁNDEZ LUIS Á_x0081_NGEL</v>
      </c>
      <c r="C19" s="106"/>
      <c r="D19" s="128">
        <v>10.0</v>
      </c>
      <c r="E19" s="129">
        <v>7.8</v>
      </c>
      <c r="F19" s="129">
        <v>9.7</v>
      </c>
      <c r="G19" s="129">
        <v>7.6</v>
      </c>
      <c r="H19" s="129">
        <v>9.0</v>
      </c>
      <c r="I19" s="129">
        <v>6.8</v>
      </c>
      <c r="J19" s="129">
        <v>9.2</v>
      </c>
      <c r="K19" s="129">
        <v>8.2</v>
      </c>
      <c r="L19" s="129">
        <v>6.9</v>
      </c>
      <c r="M19" s="129">
        <v>8.3</v>
      </c>
      <c r="N19" s="129">
        <v>8.9</v>
      </c>
      <c r="O19" s="130">
        <v>8.5</v>
      </c>
      <c r="P19" s="130">
        <v>8.6</v>
      </c>
      <c r="Q19" s="130">
        <v>6.5</v>
      </c>
      <c r="R19" s="130">
        <v>9.9</v>
      </c>
      <c r="S19" s="130">
        <v>7.4</v>
      </c>
      <c r="T19" s="130">
        <v>9.4</v>
      </c>
      <c r="U19" s="130">
        <v>8.0</v>
      </c>
      <c r="V19" s="130">
        <v>9.8</v>
      </c>
      <c r="W19" s="130">
        <v>9.1</v>
      </c>
      <c r="X19" s="130">
        <v>9.3</v>
      </c>
      <c r="Y19" s="130">
        <v>7.7</v>
      </c>
      <c r="Z19" s="130">
        <v>8.8</v>
      </c>
      <c r="AA19" s="130">
        <v>10.0</v>
      </c>
      <c r="AB19" s="130">
        <v>8.0</v>
      </c>
      <c r="AC19" s="94">
        <f t="shared" si="1"/>
        <v>9</v>
      </c>
      <c r="AD19" s="134">
        <v>7.0</v>
      </c>
      <c r="AE19" s="135"/>
      <c r="AF19" s="135"/>
      <c r="AG19" s="135"/>
      <c r="AH19" s="135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7"/>
      <c r="BH19" s="138">
        <f t="shared" si="2"/>
        <v>7</v>
      </c>
      <c r="BI19" s="139">
        <v>8.0</v>
      </c>
      <c r="BJ19" s="188">
        <v>7.0</v>
      </c>
      <c r="BK19" s="188">
        <v>9.0</v>
      </c>
      <c r="BL19" s="140"/>
      <c r="BM19" s="140"/>
      <c r="BN19" s="140"/>
      <c r="BO19" s="141"/>
      <c r="BP19" s="142">
        <f t="shared" si="3"/>
        <v>8</v>
      </c>
      <c r="BQ19" s="152">
        <v>9.0</v>
      </c>
      <c r="BR19" s="148">
        <v>9.0</v>
      </c>
      <c r="BS19" s="145">
        <v>8.5</v>
      </c>
      <c r="BT19" s="96">
        <f t="shared" si="4"/>
        <v>8</v>
      </c>
      <c r="BU19" s="10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</row>
    <row r="20" ht="15.75" customHeight="1">
      <c r="A20" s="104">
        <v>10.0</v>
      </c>
      <c r="B20" s="105" t="str">
        <f>DATOS!C20</f>
        <v>GRIMALDO PUENTE  SAMANTHA SARAHI</v>
      </c>
      <c r="C20" s="106"/>
      <c r="D20" s="107">
        <v>10.0</v>
      </c>
      <c r="E20" s="108">
        <v>10.0</v>
      </c>
      <c r="F20" s="108">
        <v>8.3</v>
      </c>
      <c r="G20" s="108">
        <v>10.0</v>
      </c>
      <c r="H20" s="108">
        <v>9.1</v>
      </c>
      <c r="I20" s="108">
        <v>10.0</v>
      </c>
      <c r="J20" s="108">
        <v>8.9</v>
      </c>
      <c r="K20" s="108">
        <v>9.3</v>
      </c>
      <c r="L20" s="108">
        <v>10.0</v>
      </c>
      <c r="M20" s="108">
        <v>8.5</v>
      </c>
      <c r="N20" s="108">
        <v>10.0</v>
      </c>
      <c r="O20" s="109">
        <v>10.0</v>
      </c>
      <c r="P20" s="109">
        <v>9.3</v>
      </c>
      <c r="Q20" s="109">
        <v>10.0</v>
      </c>
      <c r="R20" s="109">
        <v>9.7</v>
      </c>
      <c r="S20" s="109">
        <v>10.0</v>
      </c>
      <c r="T20" s="109">
        <v>8.5</v>
      </c>
      <c r="U20" s="109">
        <v>8.5</v>
      </c>
      <c r="V20" s="109">
        <v>9.1</v>
      </c>
      <c r="W20" s="109">
        <v>10.0</v>
      </c>
      <c r="X20" s="109">
        <v>9.1</v>
      </c>
      <c r="Y20" s="109">
        <v>8.5</v>
      </c>
      <c r="Z20" s="109">
        <v>9.7</v>
      </c>
      <c r="AA20" s="109">
        <v>8.5</v>
      </c>
      <c r="AB20" s="109">
        <v>9.0</v>
      </c>
      <c r="AC20" s="196">
        <f t="shared" si="1"/>
        <v>9</v>
      </c>
      <c r="AD20" s="113">
        <v>9.0</v>
      </c>
      <c r="AE20" s="114"/>
      <c r="AF20" s="114"/>
      <c r="AG20" s="114"/>
      <c r="AH20" s="114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6"/>
      <c r="BH20" s="117">
        <f t="shared" si="2"/>
        <v>9</v>
      </c>
      <c r="BI20" s="118">
        <v>9.0</v>
      </c>
      <c r="BJ20" s="187">
        <v>8.0</v>
      </c>
      <c r="BK20" s="187">
        <v>10.0</v>
      </c>
      <c r="BL20" s="119"/>
      <c r="BM20" s="119"/>
      <c r="BN20" s="119"/>
      <c r="BO20" s="120"/>
      <c r="BP20" s="121">
        <f t="shared" si="3"/>
        <v>9</v>
      </c>
      <c r="BQ20" s="150">
        <v>10.0</v>
      </c>
      <c r="BR20" s="123">
        <v>10.0</v>
      </c>
      <c r="BS20" s="124">
        <v>9.5</v>
      </c>
      <c r="BT20" s="197">
        <f t="shared" si="4"/>
        <v>9</v>
      </c>
      <c r="BU20" s="10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</row>
    <row r="21" ht="15.75" customHeight="1">
      <c r="A21" s="126">
        <v>11.0</v>
      </c>
      <c r="B21" s="127" t="str">
        <f>DATOS!C21</f>
        <v>GUERRERO RODRIGUEZ KEYSHA CECILIA</v>
      </c>
      <c r="C21" s="106"/>
      <c r="D21" s="128">
        <v>7.2</v>
      </c>
      <c r="E21" s="129">
        <v>6.6</v>
      </c>
      <c r="F21" s="129">
        <v>7.6</v>
      </c>
      <c r="G21" s="129">
        <v>5.4</v>
      </c>
      <c r="H21" s="129">
        <v>6.8</v>
      </c>
      <c r="I21" s="129">
        <v>7.8</v>
      </c>
      <c r="J21" s="129">
        <v>6.2</v>
      </c>
      <c r="K21" s="129">
        <v>7.6</v>
      </c>
      <c r="L21" s="129">
        <v>7.8</v>
      </c>
      <c r="M21" s="129">
        <v>7.4</v>
      </c>
      <c r="N21" s="129">
        <v>7.2</v>
      </c>
      <c r="O21" s="130">
        <v>5.8</v>
      </c>
      <c r="P21" s="130">
        <v>5.0</v>
      </c>
      <c r="Q21" s="130">
        <v>6.8</v>
      </c>
      <c r="R21" s="130">
        <v>6.8</v>
      </c>
      <c r="S21" s="130">
        <v>7.6</v>
      </c>
      <c r="T21" s="130">
        <v>7.8</v>
      </c>
      <c r="U21" s="130">
        <v>7.8</v>
      </c>
      <c r="V21" s="130">
        <v>5.8</v>
      </c>
      <c r="W21" s="130">
        <v>7.8</v>
      </c>
      <c r="X21" s="130">
        <v>7.8</v>
      </c>
      <c r="Y21" s="130">
        <v>7.8</v>
      </c>
      <c r="Z21" s="130">
        <v>7.6</v>
      </c>
      <c r="AA21" s="130">
        <v>5.6</v>
      </c>
      <c r="AB21" s="130">
        <v>6.0</v>
      </c>
      <c r="AC21" s="94">
        <f t="shared" si="1"/>
        <v>7</v>
      </c>
      <c r="AD21" s="134">
        <v>6.0</v>
      </c>
      <c r="AE21" s="135"/>
      <c r="AF21" s="135"/>
      <c r="AG21" s="135"/>
      <c r="AH21" s="135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7"/>
      <c r="BH21" s="138">
        <f t="shared" si="2"/>
        <v>6</v>
      </c>
      <c r="BI21" s="139">
        <v>7.0</v>
      </c>
      <c r="BJ21" s="188">
        <v>6.0</v>
      </c>
      <c r="BK21" s="188">
        <v>8.0</v>
      </c>
      <c r="BL21" s="140"/>
      <c r="BM21" s="140"/>
      <c r="BN21" s="140"/>
      <c r="BO21" s="141"/>
      <c r="BP21" s="142">
        <f t="shared" si="3"/>
        <v>7</v>
      </c>
      <c r="BQ21" s="152">
        <v>6.0</v>
      </c>
      <c r="BR21" s="148">
        <v>6.0</v>
      </c>
      <c r="BS21" s="145">
        <v>6.5</v>
      </c>
      <c r="BT21" s="96">
        <f t="shared" si="4"/>
        <v>7</v>
      </c>
      <c r="BU21" s="151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</row>
    <row r="22" ht="15.75" customHeight="1">
      <c r="A22" s="104">
        <v>12.0</v>
      </c>
      <c r="B22" s="105" t="str">
        <f>DATOS!C22</f>
        <v>HERNANDEZ CRUZ VIRIDIANA MARIE</v>
      </c>
      <c r="C22" s="106"/>
      <c r="D22" s="107">
        <v>8.7</v>
      </c>
      <c r="E22" s="108">
        <v>8.7</v>
      </c>
      <c r="F22" s="108">
        <v>10.0</v>
      </c>
      <c r="G22" s="108">
        <v>9.3</v>
      </c>
      <c r="H22" s="108">
        <v>10.0</v>
      </c>
      <c r="I22" s="108">
        <v>10.0</v>
      </c>
      <c r="J22" s="108">
        <v>10.0</v>
      </c>
      <c r="K22" s="108">
        <v>9.9</v>
      </c>
      <c r="L22" s="108">
        <v>10.0</v>
      </c>
      <c r="M22" s="108">
        <v>8.7</v>
      </c>
      <c r="N22" s="108">
        <v>9.7</v>
      </c>
      <c r="O22" s="109">
        <v>9.7</v>
      </c>
      <c r="P22" s="109">
        <v>8.3</v>
      </c>
      <c r="Q22" s="109">
        <v>9.7</v>
      </c>
      <c r="R22" s="109">
        <v>10.0</v>
      </c>
      <c r="S22" s="109">
        <v>10.0</v>
      </c>
      <c r="T22" s="109">
        <v>9.7</v>
      </c>
      <c r="U22" s="109">
        <v>9.1</v>
      </c>
      <c r="V22" s="109">
        <v>10.0</v>
      </c>
      <c r="W22" s="109">
        <v>9.3</v>
      </c>
      <c r="X22" s="109">
        <v>8.9</v>
      </c>
      <c r="Y22" s="109">
        <v>10.0</v>
      </c>
      <c r="Z22" s="109">
        <v>9.9</v>
      </c>
      <c r="AA22" s="109">
        <v>8.5</v>
      </c>
      <c r="AB22" s="109">
        <v>10.0</v>
      </c>
      <c r="AC22" s="196">
        <f t="shared" si="1"/>
        <v>10</v>
      </c>
      <c r="AD22" s="149">
        <v>10.0</v>
      </c>
      <c r="AE22" s="114"/>
      <c r="AF22" s="114"/>
      <c r="AG22" s="114"/>
      <c r="AH22" s="114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6"/>
      <c r="BH22" s="117">
        <f t="shared" si="2"/>
        <v>10</v>
      </c>
      <c r="BI22" s="118">
        <v>9.0</v>
      </c>
      <c r="BJ22" s="187">
        <v>9.0</v>
      </c>
      <c r="BK22" s="187">
        <v>10.0</v>
      </c>
      <c r="BL22" s="119"/>
      <c r="BM22" s="119"/>
      <c r="BN22" s="119"/>
      <c r="BO22" s="120"/>
      <c r="BP22" s="121">
        <f t="shared" si="3"/>
        <v>9.333333333</v>
      </c>
      <c r="BQ22" s="150">
        <v>9.0</v>
      </c>
      <c r="BR22" s="123">
        <v>9.0</v>
      </c>
      <c r="BS22" s="124">
        <v>8.0</v>
      </c>
      <c r="BT22" s="197">
        <f t="shared" si="4"/>
        <v>9</v>
      </c>
      <c r="BU22" s="10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</row>
    <row r="23" ht="15.75" customHeight="1">
      <c r="A23" s="126">
        <v>13.0</v>
      </c>
      <c r="B23" s="127" t="str">
        <f>DATOS!C23</f>
        <v>HERNANDEZ RAMIREZ WALTER JONAS</v>
      </c>
      <c r="C23" s="106"/>
      <c r="D23" s="128">
        <v>5.0</v>
      </c>
      <c r="E23" s="129">
        <v>6.0</v>
      </c>
      <c r="F23" s="129">
        <v>7.0</v>
      </c>
      <c r="G23" s="129">
        <v>5.0</v>
      </c>
      <c r="H23" s="129">
        <v>6.2</v>
      </c>
      <c r="I23" s="129">
        <v>6.6</v>
      </c>
      <c r="J23" s="129">
        <v>5.0</v>
      </c>
      <c r="K23" s="129">
        <v>6.2</v>
      </c>
      <c r="L23" s="129">
        <v>7.0</v>
      </c>
      <c r="M23" s="129">
        <v>6.6</v>
      </c>
      <c r="N23" s="129">
        <v>6.0</v>
      </c>
      <c r="O23" s="130">
        <v>5.0</v>
      </c>
      <c r="P23" s="130">
        <v>7.0</v>
      </c>
      <c r="Q23" s="130">
        <v>5.4</v>
      </c>
      <c r="R23" s="130">
        <v>5.6</v>
      </c>
      <c r="S23" s="130">
        <v>5.2</v>
      </c>
      <c r="T23" s="130">
        <v>5.0</v>
      </c>
      <c r="U23" s="130">
        <v>6.6</v>
      </c>
      <c r="V23" s="130">
        <v>7.2</v>
      </c>
      <c r="W23" s="130">
        <v>5.2</v>
      </c>
      <c r="X23" s="130">
        <v>6.6</v>
      </c>
      <c r="Y23" s="130">
        <v>5.2</v>
      </c>
      <c r="Z23" s="130">
        <v>6.0</v>
      </c>
      <c r="AA23" s="130">
        <v>7.0</v>
      </c>
      <c r="AB23" s="130">
        <v>6.0</v>
      </c>
      <c r="AC23" s="94">
        <f t="shared" si="1"/>
        <v>6</v>
      </c>
      <c r="AD23" s="134">
        <v>0.0</v>
      </c>
      <c r="AE23" s="135"/>
      <c r="AF23" s="135"/>
      <c r="AG23" s="135"/>
      <c r="AH23" s="135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7"/>
      <c r="BH23" s="138">
        <f t="shared" si="2"/>
        <v>0</v>
      </c>
      <c r="BI23" s="139">
        <v>6.0</v>
      </c>
      <c r="BJ23" s="188">
        <v>6.0</v>
      </c>
      <c r="BK23" s="188">
        <v>8.0</v>
      </c>
      <c r="BL23" s="140"/>
      <c r="BM23" s="140"/>
      <c r="BN23" s="140"/>
      <c r="BO23" s="141"/>
      <c r="BP23" s="142">
        <f t="shared" si="3"/>
        <v>6.666666667</v>
      </c>
      <c r="BQ23" s="152">
        <v>5.0</v>
      </c>
      <c r="BR23" s="148">
        <v>6.0</v>
      </c>
      <c r="BS23" s="145">
        <v>10.0</v>
      </c>
      <c r="BT23" s="96">
        <f t="shared" si="4"/>
        <v>6</v>
      </c>
      <c r="BU23" s="10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</row>
    <row r="24" ht="15.75" customHeight="1">
      <c r="A24" s="104">
        <v>14.0</v>
      </c>
      <c r="B24" s="105" t="str">
        <f>DATOS!C24</f>
        <v>HERNÁNDEZ SALAZAR DIEGO ALDAIR</v>
      </c>
      <c r="C24" s="106"/>
      <c r="D24" s="107">
        <v>6.1</v>
      </c>
      <c r="E24" s="108">
        <v>5.5</v>
      </c>
      <c r="F24" s="108">
        <v>5.3</v>
      </c>
      <c r="G24" s="108">
        <v>5.1</v>
      </c>
      <c r="H24" s="108">
        <v>5.1</v>
      </c>
      <c r="I24" s="108">
        <v>5.3</v>
      </c>
      <c r="J24" s="108">
        <v>5.9</v>
      </c>
      <c r="K24" s="108">
        <v>7.1</v>
      </c>
      <c r="L24" s="108">
        <v>6.5</v>
      </c>
      <c r="M24" s="108">
        <v>6.1</v>
      </c>
      <c r="N24" s="108">
        <v>5.9</v>
      </c>
      <c r="O24" s="109">
        <v>10.0</v>
      </c>
      <c r="P24" s="109">
        <v>5.3</v>
      </c>
      <c r="Q24" s="109">
        <v>6.5</v>
      </c>
      <c r="R24" s="109">
        <v>5.7</v>
      </c>
      <c r="S24" s="109">
        <v>5.7</v>
      </c>
      <c r="T24" s="109">
        <v>5.1</v>
      </c>
      <c r="U24" s="109">
        <v>6.1</v>
      </c>
      <c r="V24" s="109">
        <v>7.1</v>
      </c>
      <c r="W24" s="109">
        <v>7.1</v>
      </c>
      <c r="X24" s="109">
        <v>6.5</v>
      </c>
      <c r="Y24" s="109">
        <v>6.3</v>
      </c>
      <c r="Z24" s="109">
        <v>6.9</v>
      </c>
      <c r="AA24" s="109">
        <v>5.7</v>
      </c>
      <c r="AB24" s="109">
        <v>6.0</v>
      </c>
      <c r="AC24" s="196">
        <f t="shared" si="1"/>
        <v>6</v>
      </c>
      <c r="AD24" s="113">
        <v>5.0</v>
      </c>
      <c r="AE24" s="114"/>
      <c r="AF24" s="114"/>
      <c r="AG24" s="114"/>
      <c r="AH24" s="114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6"/>
      <c r="BH24" s="117">
        <f t="shared" si="2"/>
        <v>5</v>
      </c>
      <c r="BI24" s="118">
        <v>6.0</v>
      </c>
      <c r="BJ24" s="187">
        <v>6.0</v>
      </c>
      <c r="BK24" s="187">
        <v>6.0</v>
      </c>
      <c r="BL24" s="119"/>
      <c r="BM24" s="119"/>
      <c r="BN24" s="119"/>
      <c r="BO24" s="120"/>
      <c r="BP24" s="121">
        <f t="shared" si="3"/>
        <v>6</v>
      </c>
      <c r="BQ24" s="150">
        <v>6.0</v>
      </c>
      <c r="BR24" s="123">
        <v>5.0</v>
      </c>
      <c r="BS24" s="124">
        <v>6.0</v>
      </c>
      <c r="BT24" s="197">
        <f t="shared" si="4"/>
        <v>6</v>
      </c>
      <c r="BU24" s="10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</row>
    <row r="25" ht="15.75" customHeight="1">
      <c r="A25" s="126">
        <v>15.0</v>
      </c>
      <c r="B25" s="127" t="str">
        <f>DATOS!C25</f>
        <v>JIMENEZ SALAZAR WALTHER DANIEL</v>
      </c>
      <c r="C25" s="106"/>
      <c r="D25" s="128">
        <v>9.2</v>
      </c>
      <c r="E25" s="129">
        <v>7.7</v>
      </c>
      <c r="F25" s="129">
        <v>7.6</v>
      </c>
      <c r="G25" s="129">
        <v>8.2</v>
      </c>
      <c r="H25" s="129">
        <v>7.8</v>
      </c>
      <c r="I25" s="129">
        <v>6.7</v>
      </c>
      <c r="J25" s="129">
        <v>5.9</v>
      </c>
      <c r="K25" s="129">
        <v>6.8</v>
      </c>
      <c r="L25" s="129">
        <v>9.6</v>
      </c>
      <c r="M25" s="129">
        <v>9.4</v>
      </c>
      <c r="N25" s="129">
        <v>7.9</v>
      </c>
      <c r="O25" s="130">
        <v>6.9</v>
      </c>
      <c r="P25" s="130">
        <v>8.4</v>
      </c>
      <c r="Q25" s="130">
        <v>6.5</v>
      </c>
      <c r="R25" s="130">
        <v>5.7</v>
      </c>
      <c r="S25" s="130">
        <v>8.6</v>
      </c>
      <c r="T25" s="130">
        <v>6.2</v>
      </c>
      <c r="U25" s="130">
        <v>7.4</v>
      </c>
      <c r="V25" s="130">
        <v>7.3</v>
      </c>
      <c r="W25" s="130">
        <v>9.7</v>
      </c>
      <c r="X25" s="130">
        <v>6.3</v>
      </c>
      <c r="Y25" s="130">
        <v>6.4</v>
      </c>
      <c r="Z25" s="130">
        <v>8.5</v>
      </c>
      <c r="AA25" s="130">
        <v>9.1</v>
      </c>
      <c r="AB25" s="130">
        <v>9.0</v>
      </c>
      <c r="AC25" s="94">
        <f t="shared" si="1"/>
        <v>8</v>
      </c>
      <c r="AD25" s="134">
        <v>8.0</v>
      </c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7"/>
      <c r="BH25" s="138">
        <f t="shared" si="2"/>
        <v>8</v>
      </c>
      <c r="BI25" s="139">
        <v>8.0</v>
      </c>
      <c r="BJ25" s="188">
        <v>7.0</v>
      </c>
      <c r="BK25" s="188">
        <v>9.0</v>
      </c>
      <c r="BL25" s="140"/>
      <c r="BM25" s="140"/>
      <c r="BN25" s="140"/>
      <c r="BO25" s="141"/>
      <c r="BP25" s="142">
        <f t="shared" si="3"/>
        <v>8</v>
      </c>
      <c r="BQ25" s="152">
        <v>10.0</v>
      </c>
      <c r="BR25" s="148">
        <v>9.0</v>
      </c>
      <c r="BS25" s="145">
        <v>10.0</v>
      </c>
      <c r="BT25" s="96">
        <f t="shared" si="4"/>
        <v>9</v>
      </c>
      <c r="BU25" s="10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</row>
    <row r="26" ht="15.75" customHeight="1">
      <c r="A26" s="104">
        <v>16.0</v>
      </c>
      <c r="B26" s="105" t="str">
        <f>DATOS!C26</f>
        <v>MATA MONTES YAEL</v>
      </c>
      <c r="C26" s="106"/>
      <c r="D26" s="107">
        <v>6.9</v>
      </c>
      <c r="E26" s="108">
        <v>5.4</v>
      </c>
      <c r="F26" s="108">
        <v>6.4</v>
      </c>
      <c r="G26" s="108">
        <v>7.8</v>
      </c>
      <c r="H26" s="108">
        <v>5.2</v>
      </c>
      <c r="I26" s="108">
        <v>5.9</v>
      </c>
      <c r="J26" s="108">
        <v>8.1</v>
      </c>
      <c r="K26" s="108">
        <v>6.3</v>
      </c>
      <c r="L26" s="108">
        <v>8.0</v>
      </c>
      <c r="M26" s="108">
        <v>5.6</v>
      </c>
      <c r="N26" s="108">
        <v>8.5</v>
      </c>
      <c r="O26" s="109">
        <v>6.2</v>
      </c>
      <c r="P26" s="109">
        <v>7.7</v>
      </c>
      <c r="Q26" s="109">
        <v>5.8</v>
      </c>
      <c r="R26" s="109">
        <v>8.4</v>
      </c>
      <c r="S26" s="109">
        <v>8.2</v>
      </c>
      <c r="T26" s="109">
        <v>5.3</v>
      </c>
      <c r="U26" s="109">
        <v>9.0</v>
      </c>
      <c r="V26" s="109">
        <v>9.8</v>
      </c>
      <c r="W26" s="109">
        <v>7.9</v>
      </c>
      <c r="X26" s="109">
        <v>6.0</v>
      </c>
      <c r="Y26" s="109">
        <v>8.4</v>
      </c>
      <c r="Z26" s="109">
        <v>6.7</v>
      </c>
      <c r="AA26" s="109">
        <v>5.0</v>
      </c>
      <c r="AB26" s="109">
        <v>7.0</v>
      </c>
      <c r="AC26" s="196">
        <f t="shared" si="1"/>
        <v>7</v>
      </c>
      <c r="AD26" s="113">
        <v>7.0</v>
      </c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6"/>
      <c r="BH26" s="117">
        <f t="shared" si="2"/>
        <v>7</v>
      </c>
      <c r="BI26" s="118">
        <v>7.0</v>
      </c>
      <c r="BJ26" s="187">
        <v>7.0</v>
      </c>
      <c r="BK26" s="187">
        <v>7.0</v>
      </c>
      <c r="BL26" s="119"/>
      <c r="BM26" s="119"/>
      <c r="BN26" s="119"/>
      <c r="BO26" s="120"/>
      <c r="BP26" s="121">
        <f t="shared" si="3"/>
        <v>7</v>
      </c>
      <c r="BQ26" s="150">
        <v>7.0</v>
      </c>
      <c r="BR26" s="123">
        <v>7.0</v>
      </c>
      <c r="BS26" s="124">
        <v>7.5</v>
      </c>
      <c r="BT26" s="197">
        <f t="shared" si="4"/>
        <v>7</v>
      </c>
      <c r="BU26" s="151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</row>
    <row r="27" ht="15.75" customHeight="1">
      <c r="A27" s="126">
        <v>17.0</v>
      </c>
      <c r="B27" s="127" t="str">
        <f>DATOS!C27</f>
        <v>MEZA TURRUBIATES BRITANY YAHIRALIZ</v>
      </c>
      <c r="C27" s="106"/>
      <c r="D27" s="128">
        <v>10.0</v>
      </c>
      <c r="E27" s="129">
        <v>10.0</v>
      </c>
      <c r="F27" s="129">
        <v>10.0</v>
      </c>
      <c r="G27" s="129">
        <v>10.0</v>
      </c>
      <c r="H27" s="129">
        <v>9.4</v>
      </c>
      <c r="I27" s="129">
        <v>8.8</v>
      </c>
      <c r="J27" s="129">
        <v>9.4</v>
      </c>
      <c r="K27" s="129">
        <v>9.0</v>
      </c>
      <c r="L27" s="129">
        <v>9.6</v>
      </c>
      <c r="M27" s="129">
        <v>9.2</v>
      </c>
      <c r="N27" s="129">
        <v>9.2</v>
      </c>
      <c r="O27" s="130">
        <v>10.0</v>
      </c>
      <c r="P27" s="130">
        <v>9.0</v>
      </c>
      <c r="Q27" s="130">
        <v>8.4</v>
      </c>
      <c r="R27" s="130">
        <v>9.8</v>
      </c>
      <c r="S27" s="130">
        <v>9.0</v>
      </c>
      <c r="T27" s="130">
        <v>10.0</v>
      </c>
      <c r="U27" s="130">
        <v>9.8</v>
      </c>
      <c r="V27" s="130">
        <v>10.0</v>
      </c>
      <c r="W27" s="130">
        <v>10.0</v>
      </c>
      <c r="X27" s="130">
        <v>10.0</v>
      </c>
      <c r="Y27" s="130">
        <v>9.2</v>
      </c>
      <c r="Z27" s="130">
        <v>8.4</v>
      </c>
      <c r="AA27" s="130">
        <v>9.8</v>
      </c>
      <c r="AB27" s="130">
        <v>9.0</v>
      </c>
      <c r="AC27" s="94">
        <f t="shared" si="1"/>
        <v>9</v>
      </c>
      <c r="AD27" s="134">
        <v>8.0</v>
      </c>
      <c r="AE27" s="135"/>
      <c r="AF27" s="135"/>
      <c r="AG27" s="135"/>
      <c r="AH27" s="135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/>
      <c r="BB27" s="136"/>
      <c r="BC27" s="136"/>
      <c r="BD27" s="136"/>
      <c r="BE27" s="136"/>
      <c r="BF27" s="136"/>
      <c r="BG27" s="137"/>
      <c r="BH27" s="138">
        <f t="shared" si="2"/>
        <v>8</v>
      </c>
      <c r="BI27" s="139">
        <v>9.0</v>
      </c>
      <c r="BJ27" s="188">
        <v>8.0</v>
      </c>
      <c r="BK27" s="188">
        <v>10.0</v>
      </c>
      <c r="BL27" s="140"/>
      <c r="BM27" s="140"/>
      <c r="BN27" s="140"/>
      <c r="BO27" s="141"/>
      <c r="BP27" s="142">
        <f t="shared" si="3"/>
        <v>9</v>
      </c>
      <c r="BQ27" s="152">
        <v>10.0</v>
      </c>
      <c r="BR27" s="148">
        <v>10.0</v>
      </c>
      <c r="BS27" s="145">
        <v>9.0</v>
      </c>
      <c r="BT27" s="96">
        <f t="shared" si="4"/>
        <v>9</v>
      </c>
      <c r="BU27" s="10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</row>
    <row r="28" ht="15.75" customHeight="1">
      <c r="A28" s="104">
        <v>18.0</v>
      </c>
      <c r="B28" s="105" t="str">
        <f>DATOS!C28</f>
        <v>PEÑA MEDELLÍN CORAL ANJURY</v>
      </c>
      <c r="C28" s="106"/>
      <c r="D28" s="107">
        <v>6.0</v>
      </c>
      <c r="E28" s="108">
        <v>6.0</v>
      </c>
      <c r="F28" s="108">
        <v>6.0</v>
      </c>
      <c r="G28" s="108">
        <v>6.0</v>
      </c>
      <c r="H28" s="108">
        <v>6.0</v>
      </c>
      <c r="I28" s="108">
        <v>6.0</v>
      </c>
      <c r="J28" s="108">
        <v>6.0</v>
      </c>
      <c r="K28" s="108">
        <v>6.0</v>
      </c>
      <c r="L28" s="108">
        <v>6.0</v>
      </c>
      <c r="M28" s="108">
        <v>6.0</v>
      </c>
      <c r="N28" s="108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10"/>
      <c r="AC28" s="196">
        <f t="shared" si="1"/>
        <v>6</v>
      </c>
      <c r="AD28" s="113"/>
      <c r="AE28" s="114"/>
      <c r="AF28" s="114"/>
      <c r="AG28" s="114"/>
      <c r="AH28" s="114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6"/>
      <c r="BH28" s="117" t="str">
        <f t="shared" si="2"/>
        <v>#DIV/0!</v>
      </c>
      <c r="BI28" s="118"/>
      <c r="BJ28" s="187"/>
      <c r="BK28" s="187"/>
      <c r="BL28" s="119"/>
      <c r="BM28" s="119"/>
      <c r="BN28" s="119"/>
      <c r="BO28" s="120"/>
      <c r="BP28" s="153"/>
      <c r="BQ28" s="150">
        <v>7.0</v>
      </c>
      <c r="BR28" s="123">
        <v>7.0</v>
      </c>
      <c r="BS28" s="124">
        <v>5.0</v>
      </c>
      <c r="BT28" s="198">
        <v>6.0</v>
      </c>
      <c r="BU28" s="10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</row>
    <row r="29" ht="15.75" customHeight="1">
      <c r="A29" s="126">
        <v>19.0</v>
      </c>
      <c r="B29" s="127" t="str">
        <f>DATOS!C29</f>
        <v>RAMIREZ GUEIXPAL VANIA GUADALUPE</v>
      </c>
      <c r="C29" s="106"/>
      <c r="D29" s="128">
        <v>8.8</v>
      </c>
      <c r="E29" s="129">
        <v>8.8</v>
      </c>
      <c r="F29" s="129">
        <v>9.0</v>
      </c>
      <c r="G29" s="129">
        <v>9.4</v>
      </c>
      <c r="H29" s="129">
        <v>10.0</v>
      </c>
      <c r="I29" s="129">
        <v>10.0</v>
      </c>
      <c r="J29" s="129">
        <v>10.0</v>
      </c>
      <c r="K29" s="129">
        <v>10.0</v>
      </c>
      <c r="L29" s="129">
        <v>10.0</v>
      </c>
      <c r="M29" s="129">
        <v>10.0</v>
      </c>
      <c r="N29" s="129">
        <v>9.6</v>
      </c>
      <c r="O29" s="130">
        <v>10.0</v>
      </c>
      <c r="P29" s="130">
        <v>10.0</v>
      </c>
      <c r="Q29" s="130">
        <v>10.0</v>
      </c>
      <c r="R29" s="130">
        <v>10.0</v>
      </c>
      <c r="S29" s="130">
        <v>10.0</v>
      </c>
      <c r="T29" s="130">
        <v>10.0</v>
      </c>
      <c r="U29" s="130">
        <v>10.0</v>
      </c>
      <c r="V29" s="130">
        <v>8.8</v>
      </c>
      <c r="W29" s="130">
        <v>9.2</v>
      </c>
      <c r="X29" s="130">
        <v>10.0</v>
      </c>
      <c r="Y29" s="130">
        <v>9.2</v>
      </c>
      <c r="Z29" s="130">
        <v>9.0</v>
      </c>
      <c r="AA29" s="130">
        <v>9.6</v>
      </c>
      <c r="AB29" s="130">
        <v>10.0</v>
      </c>
      <c r="AC29" s="94">
        <f t="shared" si="1"/>
        <v>10</v>
      </c>
      <c r="AD29" s="147">
        <v>10.0</v>
      </c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6"/>
      <c r="BA29" s="136"/>
      <c r="BB29" s="136"/>
      <c r="BC29" s="136"/>
      <c r="BD29" s="136"/>
      <c r="BE29" s="136"/>
      <c r="BF29" s="136"/>
      <c r="BG29" s="137"/>
      <c r="BH29" s="138">
        <f t="shared" si="2"/>
        <v>10</v>
      </c>
      <c r="BI29" s="139">
        <v>10.0</v>
      </c>
      <c r="BJ29" s="188">
        <v>10.0</v>
      </c>
      <c r="BK29" s="188">
        <v>10.0</v>
      </c>
      <c r="BL29" s="140"/>
      <c r="BM29" s="140"/>
      <c r="BN29" s="140"/>
      <c r="BO29" s="141"/>
      <c r="BP29" s="142">
        <f t="shared" ref="BP29:BP40" si="5">AVERAGE(BI29:BO29)</f>
        <v>10</v>
      </c>
      <c r="BQ29" s="152">
        <v>10.0</v>
      </c>
      <c r="BR29" s="148">
        <v>10.0</v>
      </c>
      <c r="BS29" s="145">
        <v>8.5</v>
      </c>
      <c r="BT29" s="96">
        <f t="shared" ref="BT29:BT40" si="6">ROUND((AC29*$BT$1)+(BH29*$BT$2)+(BP29*$BT$3)+(BQ29*$BT$4)+(BR29*$BT$5)+(BS29*$BT$6),0)</f>
        <v>10</v>
      </c>
      <c r="BU29" s="10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</row>
    <row r="30" ht="15.75" customHeight="1">
      <c r="A30" s="104">
        <v>20.0</v>
      </c>
      <c r="B30" s="105" t="str">
        <f>DATOS!C30</f>
        <v>RAMIREZ MARTINEZ EDWIN EMMANUEL</v>
      </c>
      <c r="C30" s="106"/>
      <c r="D30" s="107">
        <v>6.4</v>
      </c>
      <c r="E30" s="108">
        <v>6.0</v>
      </c>
      <c r="F30" s="108">
        <v>6.0</v>
      </c>
      <c r="G30" s="108">
        <v>6.0</v>
      </c>
      <c r="H30" s="108">
        <v>5.6</v>
      </c>
      <c r="I30" s="108">
        <v>5.8</v>
      </c>
      <c r="J30" s="108">
        <v>6.0</v>
      </c>
      <c r="K30" s="108">
        <v>6.0</v>
      </c>
      <c r="L30" s="108">
        <v>5.4</v>
      </c>
      <c r="M30" s="108">
        <v>6.2</v>
      </c>
      <c r="N30" s="108">
        <v>5.4</v>
      </c>
      <c r="O30" s="109">
        <v>5.8</v>
      </c>
      <c r="P30" s="109">
        <v>5.0</v>
      </c>
      <c r="Q30" s="109">
        <v>6.0</v>
      </c>
      <c r="R30" s="109">
        <v>6.6</v>
      </c>
      <c r="S30" s="109">
        <v>5.8</v>
      </c>
      <c r="T30" s="109">
        <v>5.6</v>
      </c>
      <c r="U30" s="109">
        <v>5.6</v>
      </c>
      <c r="V30" s="109">
        <v>6.0</v>
      </c>
      <c r="W30" s="109">
        <v>5.6</v>
      </c>
      <c r="X30" s="109">
        <v>5.4</v>
      </c>
      <c r="Y30" s="109">
        <v>6.4</v>
      </c>
      <c r="Z30" s="109">
        <v>6.0</v>
      </c>
      <c r="AA30" s="109">
        <v>6.4</v>
      </c>
      <c r="AB30" s="109">
        <v>6.0</v>
      </c>
      <c r="AC30" s="196">
        <f t="shared" si="1"/>
        <v>6</v>
      </c>
      <c r="AD30" s="113">
        <v>6.0</v>
      </c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6"/>
      <c r="BH30" s="117">
        <f t="shared" si="2"/>
        <v>6</v>
      </c>
      <c r="BI30" s="118">
        <v>6.0</v>
      </c>
      <c r="BJ30" s="187">
        <v>6.0</v>
      </c>
      <c r="BK30" s="187">
        <v>6.0</v>
      </c>
      <c r="BL30" s="119"/>
      <c r="BM30" s="119"/>
      <c r="BN30" s="119"/>
      <c r="BO30" s="120"/>
      <c r="BP30" s="121">
        <f t="shared" si="5"/>
        <v>6</v>
      </c>
      <c r="BQ30" s="150">
        <v>5.0</v>
      </c>
      <c r="BR30" s="123">
        <v>6.0</v>
      </c>
      <c r="BS30" s="124">
        <v>7.5</v>
      </c>
      <c r="BT30" s="197">
        <f t="shared" si="6"/>
        <v>6</v>
      </c>
      <c r="BU30" s="10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</row>
    <row r="31" ht="15.75" customHeight="1">
      <c r="A31" s="126">
        <v>21.0</v>
      </c>
      <c r="B31" s="127" t="str">
        <f>DATOS!C31</f>
        <v>RANGEL GARCÍA DANIEL TIMOTEO</v>
      </c>
      <c r="C31" s="106"/>
      <c r="D31" s="128">
        <v>8.3</v>
      </c>
      <c r="E31" s="129">
        <v>7.9</v>
      </c>
      <c r="F31" s="129">
        <v>6.7</v>
      </c>
      <c r="G31" s="129">
        <v>6.6</v>
      </c>
      <c r="H31" s="129">
        <v>9.3</v>
      </c>
      <c r="I31" s="129">
        <v>8.7</v>
      </c>
      <c r="J31" s="129">
        <v>9.7</v>
      </c>
      <c r="K31" s="129">
        <v>9.1</v>
      </c>
      <c r="L31" s="129">
        <v>9.6</v>
      </c>
      <c r="M31" s="129">
        <v>6.5</v>
      </c>
      <c r="N31" s="129">
        <v>7.6</v>
      </c>
      <c r="O31" s="130">
        <v>9.2</v>
      </c>
      <c r="P31" s="130">
        <v>7.7</v>
      </c>
      <c r="Q31" s="130">
        <v>5.1</v>
      </c>
      <c r="R31" s="130">
        <v>9.0</v>
      </c>
      <c r="S31" s="130">
        <v>8.1</v>
      </c>
      <c r="T31" s="130">
        <v>8.0</v>
      </c>
      <c r="U31" s="130">
        <v>8.9</v>
      </c>
      <c r="V31" s="130">
        <v>8.8</v>
      </c>
      <c r="W31" s="130">
        <v>6.1</v>
      </c>
      <c r="X31" s="130">
        <v>7.2</v>
      </c>
      <c r="Y31" s="130">
        <v>8.6</v>
      </c>
      <c r="Z31" s="130">
        <v>7.8</v>
      </c>
      <c r="AA31" s="130">
        <v>9.5</v>
      </c>
      <c r="AB31" s="130">
        <v>8.0</v>
      </c>
      <c r="AC31" s="94">
        <f t="shared" si="1"/>
        <v>8</v>
      </c>
      <c r="AD31" s="134">
        <v>7.0</v>
      </c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7"/>
      <c r="BH31" s="138">
        <f t="shared" si="2"/>
        <v>7</v>
      </c>
      <c r="BI31" s="139">
        <v>6.0</v>
      </c>
      <c r="BJ31" s="188">
        <v>6.0</v>
      </c>
      <c r="BK31" s="188">
        <v>8.0</v>
      </c>
      <c r="BL31" s="140"/>
      <c r="BM31" s="140"/>
      <c r="BN31" s="140"/>
      <c r="BO31" s="141"/>
      <c r="BP31" s="142">
        <f t="shared" si="5"/>
        <v>6.666666667</v>
      </c>
      <c r="BQ31" s="152">
        <v>6.0</v>
      </c>
      <c r="BR31" s="148">
        <v>7.0</v>
      </c>
      <c r="BS31" s="145">
        <v>9.0</v>
      </c>
      <c r="BT31" s="96">
        <f t="shared" si="6"/>
        <v>7</v>
      </c>
      <c r="BU31" s="151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</row>
    <row r="32" ht="15.75" customHeight="1">
      <c r="A32" s="104">
        <v>22.0</v>
      </c>
      <c r="B32" s="105" t="str">
        <f>DATOS!C32</f>
        <v>ROCHA RAMÍREZ CRISTIAN GUADALUPE</v>
      </c>
      <c r="C32" s="106"/>
      <c r="D32" s="107">
        <v>5.5</v>
      </c>
      <c r="E32" s="108">
        <v>6.5</v>
      </c>
      <c r="F32" s="108">
        <v>5.9</v>
      </c>
      <c r="G32" s="108">
        <v>5.0</v>
      </c>
      <c r="H32" s="108">
        <v>5.1</v>
      </c>
      <c r="I32" s="108">
        <v>6.1</v>
      </c>
      <c r="J32" s="108">
        <v>5.0</v>
      </c>
      <c r="K32" s="108">
        <v>5.0</v>
      </c>
      <c r="L32" s="108">
        <v>5.3</v>
      </c>
      <c r="M32" s="108">
        <v>6.3</v>
      </c>
      <c r="N32" s="108">
        <v>5.3</v>
      </c>
      <c r="O32" s="109">
        <v>6.1</v>
      </c>
      <c r="P32" s="109">
        <v>5.0</v>
      </c>
      <c r="Q32" s="109">
        <v>5.3</v>
      </c>
      <c r="R32" s="109">
        <v>6.1</v>
      </c>
      <c r="S32" s="109">
        <v>5.7</v>
      </c>
      <c r="T32" s="109">
        <v>5.0</v>
      </c>
      <c r="U32" s="109">
        <v>5.3</v>
      </c>
      <c r="V32" s="109">
        <v>5.0</v>
      </c>
      <c r="W32" s="109">
        <v>5.3</v>
      </c>
      <c r="X32" s="109">
        <v>5.2</v>
      </c>
      <c r="Y32" s="109">
        <v>5.3</v>
      </c>
      <c r="Z32" s="109">
        <v>5.0</v>
      </c>
      <c r="AA32" s="109">
        <v>6.7</v>
      </c>
      <c r="AB32" s="109">
        <v>5.0</v>
      </c>
      <c r="AC32" s="196">
        <f t="shared" si="1"/>
        <v>5</v>
      </c>
      <c r="AD32" s="113">
        <v>5.0</v>
      </c>
      <c r="AE32" s="114"/>
      <c r="AF32" s="114"/>
      <c r="AG32" s="114"/>
      <c r="AH32" s="114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6"/>
      <c r="BH32" s="117">
        <f t="shared" si="2"/>
        <v>5</v>
      </c>
      <c r="BI32" s="118">
        <v>7.0</v>
      </c>
      <c r="BJ32" s="187">
        <v>6.0</v>
      </c>
      <c r="BK32" s="187">
        <v>8.0</v>
      </c>
      <c r="BL32" s="119"/>
      <c r="BM32" s="119"/>
      <c r="BN32" s="119"/>
      <c r="BO32" s="120"/>
      <c r="BP32" s="121">
        <f t="shared" si="5"/>
        <v>7</v>
      </c>
      <c r="BQ32" s="150">
        <v>5.0</v>
      </c>
      <c r="BR32" s="123">
        <v>5.0</v>
      </c>
      <c r="BS32" s="124">
        <v>6.0</v>
      </c>
      <c r="BT32" s="197">
        <f t="shared" si="6"/>
        <v>6</v>
      </c>
      <c r="BU32" s="10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</row>
    <row r="33" ht="15.75" customHeight="1">
      <c r="A33" s="126">
        <v>23.0</v>
      </c>
      <c r="B33" s="127" t="str">
        <f>DATOS!C33</f>
        <v>RODULFO ARGÜELLO ISAÍAS TADEO</v>
      </c>
      <c r="C33" s="106"/>
      <c r="D33" s="128">
        <v>5.6</v>
      </c>
      <c r="E33" s="129">
        <v>6.1</v>
      </c>
      <c r="F33" s="129">
        <v>8.1</v>
      </c>
      <c r="G33" s="129">
        <v>8.2</v>
      </c>
      <c r="H33" s="129">
        <v>5.8</v>
      </c>
      <c r="I33" s="129">
        <v>8.0</v>
      </c>
      <c r="J33" s="129">
        <v>8.4</v>
      </c>
      <c r="K33" s="129">
        <v>5.5</v>
      </c>
      <c r="L33" s="129">
        <v>6.7</v>
      </c>
      <c r="M33" s="129">
        <v>8.3</v>
      </c>
      <c r="N33" s="129">
        <v>8.6</v>
      </c>
      <c r="O33" s="130">
        <v>7.4</v>
      </c>
      <c r="P33" s="130">
        <v>5.2</v>
      </c>
      <c r="Q33" s="130">
        <v>6.8</v>
      </c>
      <c r="R33" s="130">
        <v>6.6</v>
      </c>
      <c r="S33" s="130">
        <v>5.3</v>
      </c>
      <c r="T33" s="130">
        <v>7.5</v>
      </c>
      <c r="U33" s="130">
        <v>6.4</v>
      </c>
      <c r="V33" s="130">
        <v>8.5</v>
      </c>
      <c r="W33" s="130">
        <v>8.7</v>
      </c>
      <c r="X33" s="130">
        <v>6.2</v>
      </c>
      <c r="Y33" s="130">
        <v>7.2</v>
      </c>
      <c r="Z33" s="130">
        <v>7.7</v>
      </c>
      <c r="AA33" s="130">
        <v>6.5</v>
      </c>
      <c r="AB33" s="130">
        <v>7.0</v>
      </c>
      <c r="AC33" s="94">
        <f t="shared" si="1"/>
        <v>7</v>
      </c>
      <c r="AD33" s="134">
        <v>7.0</v>
      </c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7"/>
      <c r="BH33" s="138">
        <f t="shared" si="2"/>
        <v>7</v>
      </c>
      <c r="BI33" s="139">
        <v>7.0</v>
      </c>
      <c r="BJ33" s="188">
        <v>7.0</v>
      </c>
      <c r="BK33" s="188">
        <v>7.0</v>
      </c>
      <c r="BL33" s="140"/>
      <c r="BM33" s="140"/>
      <c r="BN33" s="140"/>
      <c r="BO33" s="141"/>
      <c r="BP33" s="142">
        <f t="shared" si="5"/>
        <v>7</v>
      </c>
      <c r="BQ33" s="152">
        <v>8.0</v>
      </c>
      <c r="BR33" s="148">
        <v>7.0</v>
      </c>
      <c r="BS33" s="145">
        <v>9.0</v>
      </c>
      <c r="BT33" s="96">
        <f t="shared" si="6"/>
        <v>8</v>
      </c>
      <c r="BU33" s="10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</row>
    <row r="34" ht="15.75" customHeight="1">
      <c r="A34" s="104">
        <v>24.0</v>
      </c>
      <c r="B34" s="105" t="str">
        <f>DATOS!C34</f>
        <v>RUBIO HERNÁNDEZ EVELIN</v>
      </c>
      <c r="C34" s="106"/>
      <c r="D34" s="107">
        <v>10.0</v>
      </c>
      <c r="E34" s="108">
        <v>10.0</v>
      </c>
      <c r="F34" s="108">
        <v>9.0</v>
      </c>
      <c r="G34" s="108">
        <v>10.0</v>
      </c>
      <c r="H34" s="108">
        <v>10.0</v>
      </c>
      <c r="I34" s="108">
        <v>10.0</v>
      </c>
      <c r="J34" s="108">
        <v>10.0</v>
      </c>
      <c r="K34" s="108">
        <v>9.6</v>
      </c>
      <c r="L34" s="108">
        <v>9.8</v>
      </c>
      <c r="M34" s="108">
        <v>10.0</v>
      </c>
      <c r="N34" s="108">
        <v>10.0</v>
      </c>
      <c r="O34" s="109">
        <v>9.6</v>
      </c>
      <c r="P34" s="109">
        <v>10.0</v>
      </c>
      <c r="Q34" s="109">
        <v>9.4</v>
      </c>
      <c r="R34" s="109">
        <v>9.8</v>
      </c>
      <c r="S34" s="109">
        <v>10.0</v>
      </c>
      <c r="T34" s="109">
        <v>9.2</v>
      </c>
      <c r="U34" s="109">
        <v>10.0</v>
      </c>
      <c r="V34" s="109">
        <v>10.0</v>
      </c>
      <c r="W34" s="109">
        <v>10.0</v>
      </c>
      <c r="X34" s="109">
        <v>9.0</v>
      </c>
      <c r="Y34" s="109">
        <v>9.8</v>
      </c>
      <c r="Z34" s="109">
        <v>8.8</v>
      </c>
      <c r="AA34" s="109">
        <v>10.0</v>
      </c>
      <c r="AB34" s="109">
        <v>10.0</v>
      </c>
      <c r="AC34" s="196">
        <f t="shared" si="1"/>
        <v>10</v>
      </c>
      <c r="AD34" s="149">
        <v>10.0</v>
      </c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6"/>
      <c r="BH34" s="117">
        <f t="shared" si="2"/>
        <v>10</v>
      </c>
      <c r="BI34" s="118">
        <v>10.0</v>
      </c>
      <c r="BJ34" s="187">
        <v>10.0</v>
      </c>
      <c r="BK34" s="187">
        <v>10.0</v>
      </c>
      <c r="BL34" s="119"/>
      <c r="BM34" s="119"/>
      <c r="BN34" s="119"/>
      <c r="BO34" s="120"/>
      <c r="BP34" s="121">
        <f t="shared" si="5"/>
        <v>10</v>
      </c>
      <c r="BQ34" s="150">
        <v>10.0</v>
      </c>
      <c r="BR34" s="123">
        <v>10.0</v>
      </c>
      <c r="BS34" s="124">
        <v>9.5</v>
      </c>
      <c r="BT34" s="197">
        <f t="shared" si="6"/>
        <v>10</v>
      </c>
      <c r="BU34" s="10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</row>
    <row r="35" ht="15.75" customHeight="1">
      <c r="A35" s="126">
        <v>25.0</v>
      </c>
      <c r="B35" s="127" t="str">
        <f>DATOS!C35</f>
        <v>SALAZAR GOMEZ OSVALDO DAMIAN</v>
      </c>
      <c r="C35" s="106"/>
      <c r="D35" s="128">
        <v>8.4</v>
      </c>
      <c r="E35" s="129">
        <v>6.4</v>
      </c>
      <c r="F35" s="129">
        <v>6.6</v>
      </c>
      <c r="G35" s="129">
        <v>8.6</v>
      </c>
      <c r="H35" s="129">
        <v>8.8</v>
      </c>
      <c r="I35" s="129">
        <v>7.0</v>
      </c>
      <c r="J35" s="129">
        <v>7.3</v>
      </c>
      <c r="K35" s="129">
        <v>5.5</v>
      </c>
      <c r="L35" s="129">
        <v>6.1</v>
      </c>
      <c r="M35" s="129">
        <v>9.3</v>
      </c>
      <c r="N35" s="129">
        <v>8.3</v>
      </c>
      <c r="O35" s="130">
        <v>5.9</v>
      </c>
      <c r="P35" s="130">
        <v>9.0</v>
      </c>
      <c r="Q35" s="130">
        <v>7.9</v>
      </c>
      <c r="R35" s="130">
        <v>7.7</v>
      </c>
      <c r="S35" s="130">
        <v>6.5</v>
      </c>
      <c r="T35" s="130">
        <v>8.7</v>
      </c>
      <c r="U35" s="130">
        <v>9.6</v>
      </c>
      <c r="V35" s="130">
        <v>5.7</v>
      </c>
      <c r="W35" s="130">
        <v>7.2</v>
      </c>
      <c r="X35" s="130">
        <v>8.1</v>
      </c>
      <c r="Y35" s="130">
        <v>5.8</v>
      </c>
      <c r="Z35" s="130">
        <v>8.1</v>
      </c>
      <c r="AA35" s="130">
        <v>5.6</v>
      </c>
      <c r="AB35" s="130">
        <v>7.0</v>
      </c>
      <c r="AC35" s="94">
        <f t="shared" si="1"/>
        <v>7</v>
      </c>
      <c r="AD35" s="134">
        <v>7.0</v>
      </c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7"/>
      <c r="BH35" s="138">
        <f t="shared" si="2"/>
        <v>7</v>
      </c>
      <c r="BI35" s="139">
        <v>9.0</v>
      </c>
      <c r="BJ35" s="188">
        <v>9.0</v>
      </c>
      <c r="BK35" s="188">
        <v>9.0</v>
      </c>
      <c r="BL35" s="140"/>
      <c r="BM35" s="140"/>
      <c r="BN35" s="140"/>
      <c r="BO35" s="141"/>
      <c r="BP35" s="142">
        <f t="shared" si="5"/>
        <v>9</v>
      </c>
      <c r="BQ35" s="152">
        <v>9.0</v>
      </c>
      <c r="BR35" s="148">
        <v>9.0</v>
      </c>
      <c r="BS35" s="145">
        <v>8.0</v>
      </c>
      <c r="BT35" s="96">
        <f t="shared" si="6"/>
        <v>8</v>
      </c>
      <c r="BU35" s="155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</row>
    <row r="36" ht="15.75" customHeight="1">
      <c r="A36" s="104">
        <v>26.0</v>
      </c>
      <c r="B36" s="105" t="str">
        <f>DATOS!C36</f>
        <v>SANTIAGO DEL ANGEL JESUS ANTONIO</v>
      </c>
      <c r="C36" s="106"/>
      <c r="D36" s="107">
        <v>8.9</v>
      </c>
      <c r="E36" s="108">
        <v>9.7</v>
      </c>
      <c r="F36" s="108">
        <v>8.9</v>
      </c>
      <c r="G36" s="108">
        <v>10.0</v>
      </c>
      <c r="H36" s="108">
        <v>10.0</v>
      </c>
      <c r="I36" s="108">
        <v>9.3</v>
      </c>
      <c r="J36" s="108">
        <v>8.9</v>
      </c>
      <c r="K36" s="108">
        <v>8.7</v>
      </c>
      <c r="L36" s="108">
        <v>9.9</v>
      </c>
      <c r="M36" s="108">
        <v>8.9</v>
      </c>
      <c r="N36" s="108">
        <v>10.0</v>
      </c>
      <c r="O36" s="109">
        <v>10.0</v>
      </c>
      <c r="P36" s="109">
        <v>10.0</v>
      </c>
      <c r="Q36" s="109">
        <v>8.9</v>
      </c>
      <c r="R36" s="109">
        <v>9.7</v>
      </c>
      <c r="S36" s="109">
        <v>10.0</v>
      </c>
      <c r="T36" s="109">
        <v>9.9</v>
      </c>
      <c r="U36" s="109">
        <v>9.9</v>
      </c>
      <c r="V36" s="109">
        <v>8.5</v>
      </c>
      <c r="W36" s="109">
        <v>9.5</v>
      </c>
      <c r="X36" s="109">
        <v>9.1</v>
      </c>
      <c r="Y36" s="109">
        <v>9.7</v>
      </c>
      <c r="Z36" s="109">
        <v>10.0</v>
      </c>
      <c r="AA36" s="109">
        <v>8.7</v>
      </c>
      <c r="AB36" s="109">
        <v>10.0</v>
      </c>
      <c r="AC36" s="196">
        <f t="shared" si="1"/>
        <v>9</v>
      </c>
      <c r="AD36" s="113">
        <v>7.0</v>
      </c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6"/>
      <c r="BH36" s="117">
        <f t="shared" si="2"/>
        <v>7</v>
      </c>
      <c r="BI36" s="118">
        <v>7.0</v>
      </c>
      <c r="BJ36" s="187">
        <v>6.0</v>
      </c>
      <c r="BK36" s="187">
        <v>8.0</v>
      </c>
      <c r="BL36" s="119"/>
      <c r="BM36" s="119"/>
      <c r="BN36" s="119"/>
      <c r="BO36" s="120"/>
      <c r="BP36" s="121">
        <f t="shared" si="5"/>
        <v>7</v>
      </c>
      <c r="BQ36" s="150">
        <v>8.0</v>
      </c>
      <c r="BR36" s="123">
        <v>8.0</v>
      </c>
      <c r="BS36" s="124">
        <v>10.0</v>
      </c>
      <c r="BT36" s="197">
        <f t="shared" si="6"/>
        <v>8</v>
      </c>
      <c r="BU36" s="10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</row>
    <row r="37" ht="15.75" customHeight="1">
      <c r="A37" s="126">
        <v>27.0</v>
      </c>
      <c r="B37" s="127" t="str">
        <f>DATOS!C37</f>
        <v>SILVA GONZALEZ LEONARDO SAID</v>
      </c>
      <c r="C37" s="106"/>
      <c r="D37" s="128">
        <v>6.0</v>
      </c>
      <c r="E37" s="129">
        <v>7.0</v>
      </c>
      <c r="F37" s="129">
        <v>6.2</v>
      </c>
      <c r="G37" s="129">
        <v>6.4</v>
      </c>
      <c r="H37" s="129">
        <v>5.6</v>
      </c>
      <c r="I37" s="129">
        <v>6.6</v>
      </c>
      <c r="J37" s="129">
        <v>7.0</v>
      </c>
      <c r="K37" s="129">
        <v>6.6</v>
      </c>
      <c r="L37" s="129">
        <v>5.8</v>
      </c>
      <c r="M37" s="129">
        <v>5.8</v>
      </c>
      <c r="N37" s="129">
        <v>6.4</v>
      </c>
      <c r="O37" s="130">
        <v>6.6</v>
      </c>
      <c r="P37" s="130">
        <v>7.2</v>
      </c>
      <c r="Q37" s="130">
        <v>6.4</v>
      </c>
      <c r="R37" s="130">
        <v>6.2</v>
      </c>
      <c r="S37" s="130">
        <v>5.4</v>
      </c>
      <c r="T37" s="130">
        <v>5.8</v>
      </c>
      <c r="U37" s="130">
        <v>5.6</v>
      </c>
      <c r="V37" s="130">
        <v>5.6</v>
      </c>
      <c r="W37" s="130">
        <v>7.2</v>
      </c>
      <c r="X37" s="130">
        <v>6.2</v>
      </c>
      <c r="Y37" s="130">
        <v>7.4</v>
      </c>
      <c r="Z37" s="130">
        <v>5.8</v>
      </c>
      <c r="AA37" s="130">
        <v>10.0</v>
      </c>
      <c r="AB37" s="130">
        <v>7.0</v>
      </c>
      <c r="AC37" s="94">
        <f t="shared" si="1"/>
        <v>6</v>
      </c>
      <c r="AD37" s="134">
        <v>7.0</v>
      </c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7"/>
      <c r="BH37" s="138">
        <f t="shared" si="2"/>
        <v>7</v>
      </c>
      <c r="BI37" s="139">
        <v>7.0</v>
      </c>
      <c r="BJ37" s="188">
        <v>6.0</v>
      </c>
      <c r="BK37" s="188">
        <v>8.0</v>
      </c>
      <c r="BL37" s="140"/>
      <c r="BM37" s="140"/>
      <c r="BN37" s="140"/>
      <c r="BO37" s="141"/>
      <c r="BP37" s="142">
        <f t="shared" si="5"/>
        <v>7</v>
      </c>
      <c r="BQ37" s="152">
        <v>9.0</v>
      </c>
      <c r="BR37" s="148">
        <v>7.0</v>
      </c>
      <c r="BS37" s="145">
        <v>9.0</v>
      </c>
      <c r="BT37" s="96">
        <f t="shared" si="6"/>
        <v>7</v>
      </c>
      <c r="BU37" s="10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</row>
    <row r="38" ht="15.75" customHeight="1">
      <c r="A38" s="104">
        <v>28.0</v>
      </c>
      <c r="B38" s="105" t="str">
        <f>DATOS!C38</f>
        <v>TOBIAS LOZANO ESTEFANY LIZBETH</v>
      </c>
      <c r="C38" s="106"/>
      <c r="D38" s="107">
        <v>5.7</v>
      </c>
      <c r="E38" s="108">
        <v>6.5</v>
      </c>
      <c r="F38" s="108">
        <v>8.7</v>
      </c>
      <c r="G38" s="108">
        <v>5.2</v>
      </c>
      <c r="H38" s="108">
        <v>5.3</v>
      </c>
      <c r="I38" s="108">
        <v>8.9</v>
      </c>
      <c r="J38" s="108">
        <v>7.2</v>
      </c>
      <c r="K38" s="108">
        <v>6.0</v>
      </c>
      <c r="L38" s="108">
        <v>7.9</v>
      </c>
      <c r="M38" s="108">
        <v>7.5</v>
      </c>
      <c r="N38" s="108">
        <v>6.3</v>
      </c>
      <c r="O38" s="109">
        <v>5.5</v>
      </c>
      <c r="P38" s="109">
        <v>6.2</v>
      </c>
      <c r="Q38" s="109">
        <v>7.7</v>
      </c>
      <c r="R38" s="109">
        <v>5.0</v>
      </c>
      <c r="S38" s="109">
        <v>7.8</v>
      </c>
      <c r="T38" s="109">
        <v>8.5</v>
      </c>
      <c r="U38" s="109">
        <v>7.1</v>
      </c>
      <c r="V38" s="109">
        <v>7.3</v>
      </c>
      <c r="W38" s="109">
        <v>6.9</v>
      </c>
      <c r="X38" s="109">
        <v>6.1</v>
      </c>
      <c r="Y38" s="109">
        <v>8.8</v>
      </c>
      <c r="Z38" s="109">
        <v>6.4</v>
      </c>
      <c r="AA38" s="109">
        <v>8.4</v>
      </c>
      <c r="AB38" s="109">
        <v>7.0</v>
      </c>
      <c r="AC38" s="196">
        <f t="shared" si="1"/>
        <v>7</v>
      </c>
      <c r="AD38" s="149">
        <v>7.0</v>
      </c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6"/>
      <c r="BH38" s="117">
        <f t="shared" si="2"/>
        <v>7</v>
      </c>
      <c r="BI38" s="118">
        <v>7.0</v>
      </c>
      <c r="BJ38" s="187">
        <v>6.0</v>
      </c>
      <c r="BK38" s="187">
        <v>8.0</v>
      </c>
      <c r="BL38" s="119"/>
      <c r="BM38" s="119"/>
      <c r="BN38" s="119"/>
      <c r="BO38" s="120"/>
      <c r="BP38" s="121">
        <f t="shared" si="5"/>
        <v>7</v>
      </c>
      <c r="BQ38" s="150">
        <v>8.0</v>
      </c>
      <c r="BR38" s="123">
        <v>9.0</v>
      </c>
      <c r="BS38" s="124">
        <v>8.0</v>
      </c>
      <c r="BT38" s="197">
        <f t="shared" si="6"/>
        <v>8</v>
      </c>
      <c r="BU38" s="10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</row>
    <row r="39" ht="15.75" customHeight="1">
      <c r="A39" s="126">
        <v>29.0</v>
      </c>
      <c r="B39" s="127" t="str">
        <f>DATOS!C39</f>
        <v>TORRES MEDINA JOSHLEY ALEJANDRO</v>
      </c>
      <c r="C39" s="106"/>
      <c r="D39" s="128">
        <v>5.4</v>
      </c>
      <c r="E39" s="129">
        <v>6.0</v>
      </c>
      <c r="F39" s="129">
        <v>6.6</v>
      </c>
      <c r="G39" s="129">
        <v>6.2</v>
      </c>
      <c r="H39" s="129">
        <v>6.0</v>
      </c>
      <c r="I39" s="129">
        <v>5.0</v>
      </c>
      <c r="J39" s="129">
        <v>5.0</v>
      </c>
      <c r="K39" s="129">
        <v>6.8</v>
      </c>
      <c r="L39" s="129">
        <v>5.0</v>
      </c>
      <c r="M39" s="129">
        <v>5.0</v>
      </c>
      <c r="N39" s="129">
        <v>7.2</v>
      </c>
      <c r="O39" s="130">
        <v>6.6</v>
      </c>
      <c r="P39" s="130">
        <v>6.6</v>
      </c>
      <c r="Q39" s="130">
        <v>9.8</v>
      </c>
      <c r="R39" s="130">
        <v>6.4</v>
      </c>
      <c r="S39" s="130">
        <v>6.0</v>
      </c>
      <c r="T39" s="130">
        <v>5.0</v>
      </c>
      <c r="U39" s="130">
        <v>5.2</v>
      </c>
      <c r="V39" s="130">
        <v>6.8</v>
      </c>
      <c r="W39" s="130">
        <v>5.0</v>
      </c>
      <c r="X39" s="130">
        <v>6.0</v>
      </c>
      <c r="Y39" s="130">
        <v>5.0</v>
      </c>
      <c r="Z39" s="130">
        <v>5.4</v>
      </c>
      <c r="AA39" s="130">
        <v>5.0</v>
      </c>
      <c r="AB39" s="130">
        <v>6.0</v>
      </c>
      <c r="AC39" s="94">
        <f t="shared" si="1"/>
        <v>6</v>
      </c>
      <c r="AD39" s="134">
        <v>6.0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7"/>
      <c r="BH39" s="138">
        <f t="shared" si="2"/>
        <v>6</v>
      </c>
      <c r="BI39" s="139">
        <v>6.0</v>
      </c>
      <c r="BJ39" s="188">
        <v>6.0</v>
      </c>
      <c r="BK39" s="188">
        <v>6.0</v>
      </c>
      <c r="BL39" s="140"/>
      <c r="BM39" s="140"/>
      <c r="BN39" s="140"/>
      <c r="BO39" s="141"/>
      <c r="BP39" s="142">
        <f t="shared" si="5"/>
        <v>6</v>
      </c>
      <c r="BQ39" s="152">
        <v>5.0</v>
      </c>
      <c r="BR39" s="148">
        <v>5.0</v>
      </c>
      <c r="BS39" s="145">
        <v>7.5</v>
      </c>
      <c r="BT39" s="96">
        <f t="shared" si="6"/>
        <v>6</v>
      </c>
      <c r="BU39" s="10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</row>
    <row r="40" ht="15.75" customHeight="1">
      <c r="A40" s="104">
        <v>30.0</v>
      </c>
      <c r="B40" s="105" t="str">
        <f>DATOS!C40</f>
        <v>RAMÍREZ CORREA ALISSON</v>
      </c>
      <c r="C40" s="106"/>
      <c r="D40" s="199">
        <v>10.0</v>
      </c>
      <c r="E40" s="109">
        <v>10.0</v>
      </c>
      <c r="F40" s="109">
        <v>10.0</v>
      </c>
      <c r="G40" s="109">
        <v>10.0</v>
      </c>
      <c r="H40" s="109">
        <v>10.0</v>
      </c>
      <c r="I40" s="109">
        <v>10.0</v>
      </c>
      <c r="J40" s="109">
        <v>10.0</v>
      </c>
      <c r="K40" s="109">
        <v>10.0</v>
      </c>
      <c r="L40" s="109">
        <v>10.0</v>
      </c>
      <c r="M40" s="109">
        <v>10.0</v>
      </c>
      <c r="N40" s="109">
        <v>10.0</v>
      </c>
      <c r="O40" s="109">
        <v>10.0</v>
      </c>
      <c r="P40" s="109">
        <v>10.0</v>
      </c>
      <c r="Q40" s="109">
        <v>9.0</v>
      </c>
      <c r="R40" s="109">
        <v>9.0</v>
      </c>
      <c r="S40" s="109">
        <v>9.0</v>
      </c>
      <c r="T40" s="109">
        <v>10.0</v>
      </c>
      <c r="U40" s="109">
        <v>10.0</v>
      </c>
      <c r="V40" s="109">
        <v>10.0</v>
      </c>
      <c r="W40" s="109"/>
      <c r="X40" s="110"/>
      <c r="Y40" s="110"/>
      <c r="Z40" s="110"/>
      <c r="AA40" s="110"/>
      <c r="AB40" s="110"/>
      <c r="AC40" s="196">
        <f t="shared" si="1"/>
        <v>10</v>
      </c>
      <c r="AD40" s="113">
        <v>8.0</v>
      </c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6"/>
      <c r="BH40" s="191">
        <f t="shared" si="2"/>
        <v>8</v>
      </c>
      <c r="BI40" s="118">
        <v>9.0</v>
      </c>
      <c r="BJ40" s="187">
        <v>9.0</v>
      </c>
      <c r="BK40" s="187">
        <v>9.0</v>
      </c>
      <c r="BL40" s="119"/>
      <c r="BM40" s="119"/>
      <c r="BN40" s="119"/>
      <c r="BO40" s="120"/>
      <c r="BP40" s="192">
        <f t="shared" si="5"/>
        <v>9</v>
      </c>
      <c r="BQ40" s="150">
        <v>9.0</v>
      </c>
      <c r="BR40" s="123">
        <v>10.0</v>
      </c>
      <c r="BS40" s="124">
        <v>10.0</v>
      </c>
      <c r="BT40" s="197">
        <f t="shared" si="6"/>
        <v>9</v>
      </c>
      <c r="BU40" s="159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</row>
    <row r="41" ht="15.75" customHeight="1">
      <c r="A41" s="126">
        <v>31.0</v>
      </c>
      <c r="B41" s="127" t="str">
        <f>DATOS!C41</f>
        <v/>
      </c>
      <c r="C41" s="106"/>
      <c r="D41" s="160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0"/>
      <c r="P41" s="130"/>
      <c r="Q41" s="130"/>
      <c r="R41" s="130"/>
      <c r="S41" s="130"/>
      <c r="T41" s="130"/>
      <c r="U41" s="130"/>
      <c r="V41" s="130"/>
      <c r="W41" s="130"/>
      <c r="X41" s="131"/>
      <c r="Y41" s="131"/>
      <c r="Z41" s="131"/>
      <c r="AA41" s="131"/>
      <c r="AB41" s="131"/>
      <c r="AC41" s="133"/>
      <c r="AD41" s="147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7"/>
      <c r="BH41" s="138"/>
      <c r="BI41" s="139"/>
      <c r="BJ41" s="193"/>
      <c r="BK41" s="193"/>
      <c r="BL41" s="140"/>
      <c r="BM41" s="140"/>
      <c r="BN41" s="140"/>
      <c r="BO41" s="141"/>
      <c r="BP41" s="142"/>
      <c r="BQ41" s="152"/>
      <c r="BR41" s="144"/>
      <c r="BS41" s="145"/>
      <c r="BT41" s="146"/>
      <c r="BU41" s="159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</row>
    <row r="42" ht="15.75" customHeight="1">
      <c r="A42" s="104">
        <v>32.0</v>
      </c>
      <c r="B42" s="105" t="str">
        <f>DATOS!C42</f>
        <v/>
      </c>
      <c r="C42" s="106"/>
      <c r="D42" s="104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12"/>
      <c r="AD42" s="149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6"/>
      <c r="BH42" s="117"/>
      <c r="BI42" s="157"/>
      <c r="BJ42" s="194"/>
      <c r="BK42" s="194"/>
      <c r="BL42" s="119"/>
      <c r="BM42" s="119"/>
      <c r="BN42" s="119"/>
      <c r="BO42" s="120"/>
      <c r="BP42" s="121"/>
      <c r="BQ42" s="122"/>
      <c r="BR42" s="154"/>
      <c r="BS42" s="158"/>
      <c r="BT42" s="125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</row>
    <row r="43" ht="15.75" customHeight="1">
      <c r="A43" s="126">
        <v>33.0</v>
      </c>
      <c r="B43" s="127" t="str">
        <f>DATOS!C43</f>
        <v/>
      </c>
      <c r="C43" s="106"/>
      <c r="D43" s="160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3"/>
      <c r="AD43" s="147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7"/>
      <c r="BH43" s="138"/>
      <c r="BI43" s="161"/>
      <c r="BJ43" s="193"/>
      <c r="BK43" s="193"/>
      <c r="BL43" s="140"/>
      <c r="BM43" s="140"/>
      <c r="BN43" s="140"/>
      <c r="BO43" s="141"/>
      <c r="BP43" s="142"/>
      <c r="BQ43" s="143"/>
      <c r="BR43" s="144"/>
      <c r="BS43" s="162"/>
      <c r="BT43" s="146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</row>
    <row r="44" ht="15.75" customHeight="1">
      <c r="A44" s="104">
        <v>34.0</v>
      </c>
      <c r="B44" s="105" t="str">
        <f>DATOS!C44</f>
        <v/>
      </c>
      <c r="C44" s="106"/>
      <c r="D44" s="104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12"/>
      <c r="AD44" s="149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6"/>
      <c r="BH44" s="117"/>
      <c r="BI44" s="157"/>
      <c r="BJ44" s="194"/>
      <c r="BK44" s="194"/>
      <c r="BL44" s="119"/>
      <c r="BM44" s="119"/>
      <c r="BN44" s="119"/>
      <c r="BO44" s="120"/>
      <c r="BP44" s="121"/>
      <c r="BQ44" s="122"/>
      <c r="BR44" s="154"/>
      <c r="BS44" s="158"/>
      <c r="BT44" s="125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</row>
    <row r="45" ht="15.75" customHeight="1">
      <c r="A45" s="126">
        <v>35.0</v>
      </c>
      <c r="B45" s="127" t="str">
        <f>DATOS!C45</f>
        <v/>
      </c>
      <c r="C45" s="106"/>
      <c r="D45" s="160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3"/>
      <c r="AD45" s="147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7"/>
      <c r="BH45" s="138"/>
      <c r="BI45" s="161"/>
      <c r="BJ45" s="193"/>
      <c r="BK45" s="193"/>
      <c r="BL45" s="140"/>
      <c r="BM45" s="140"/>
      <c r="BN45" s="140"/>
      <c r="BO45" s="141"/>
      <c r="BP45" s="142"/>
      <c r="BQ45" s="143"/>
      <c r="BR45" s="144"/>
      <c r="BS45" s="162"/>
      <c r="BT45" s="146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</row>
    <row r="46" ht="15.75" customHeight="1">
      <c r="A46" s="104">
        <v>36.0</v>
      </c>
      <c r="B46" s="105" t="str">
        <f>DATOS!C46</f>
        <v/>
      </c>
      <c r="C46" s="106"/>
      <c r="D46" s="104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12"/>
      <c r="AD46" s="149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6"/>
      <c r="BH46" s="117"/>
      <c r="BI46" s="157"/>
      <c r="BJ46" s="194"/>
      <c r="BK46" s="194"/>
      <c r="BL46" s="119"/>
      <c r="BM46" s="119"/>
      <c r="BN46" s="119"/>
      <c r="BO46" s="120"/>
      <c r="BP46" s="121"/>
      <c r="BQ46" s="122"/>
      <c r="BR46" s="154"/>
      <c r="BS46" s="158"/>
      <c r="BT46" s="165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</row>
    <row r="47" ht="15.75" customHeight="1">
      <c r="A47" s="126">
        <v>37.0</v>
      </c>
      <c r="B47" s="127" t="str">
        <f>DATOS!C47</f>
        <v/>
      </c>
      <c r="C47" s="106"/>
      <c r="D47" s="160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3"/>
      <c r="AD47" s="147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7"/>
      <c r="BH47" s="138"/>
      <c r="BI47" s="161"/>
      <c r="BJ47" s="193"/>
      <c r="BK47" s="193"/>
      <c r="BL47" s="140"/>
      <c r="BM47" s="140"/>
      <c r="BN47" s="140"/>
      <c r="BO47" s="141"/>
      <c r="BP47" s="142"/>
      <c r="BQ47" s="143"/>
      <c r="BR47" s="144"/>
      <c r="BS47" s="162"/>
      <c r="BT47" s="142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</row>
    <row r="48" ht="15.75" customHeight="1">
      <c r="A48" s="104">
        <v>38.0</v>
      </c>
      <c r="B48" s="105" t="str">
        <f>DATOS!C48</f>
        <v/>
      </c>
      <c r="C48" s="106"/>
      <c r="D48" s="104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12"/>
      <c r="AD48" s="149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6"/>
      <c r="BH48" s="117"/>
      <c r="BI48" s="157"/>
      <c r="BJ48" s="194"/>
      <c r="BK48" s="194"/>
      <c r="BL48" s="119"/>
      <c r="BM48" s="119"/>
      <c r="BN48" s="119"/>
      <c r="BO48" s="120"/>
      <c r="BP48" s="121"/>
      <c r="BQ48" s="122"/>
      <c r="BR48" s="154"/>
      <c r="BS48" s="158"/>
      <c r="BT48" s="165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</row>
    <row r="49" ht="15.75" customHeight="1">
      <c r="A49" s="126">
        <v>39.0</v>
      </c>
      <c r="B49" s="127" t="str">
        <f>DATOS!C49</f>
        <v/>
      </c>
      <c r="C49" s="106"/>
      <c r="D49" s="160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  <c r="AA49" s="131"/>
      <c r="AB49" s="131"/>
      <c r="AC49" s="133"/>
      <c r="AD49" s="147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7"/>
      <c r="BH49" s="138"/>
      <c r="BI49" s="161"/>
      <c r="BJ49" s="193"/>
      <c r="BK49" s="193"/>
      <c r="BL49" s="140"/>
      <c r="BM49" s="140"/>
      <c r="BN49" s="140"/>
      <c r="BO49" s="141"/>
      <c r="BP49" s="142"/>
      <c r="BQ49" s="143"/>
      <c r="BR49" s="144"/>
      <c r="BS49" s="162"/>
      <c r="BT49" s="142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</row>
    <row r="50" ht="15.75" customHeight="1">
      <c r="A50" s="104">
        <v>40.0</v>
      </c>
      <c r="B50" s="105" t="str">
        <f>DATOS!C50</f>
        <v/>
      </c>
      <c r="C50" s="106"/>
      <c r="D50" s="104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12"/>
      <c r="AD50" s="149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6"/>
      <c r="BH50" s="117"/>
      <c r="BI50" s="157"/>
      <c r="BJ50" s="194"/>
      <c r="BK50" s="194"/>
      <c r="BL50" s="119"/>
      <c r="BM50" s="119"/>
      <c r="BN50" s="119"/>
      <c r="BO50" s="120"/>
      <c r="BP50" s="121"/>
      <c r="BQ50" s="122"/>
      <c r="BR50" s="154"/>
      <c r="BS50" s="158"/>
      <c r="BT50" s="165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</row>
    <row r="51" ht="15.75" customHeight="1">
      <c r="A51" s="126">
        <v>41.0</v>
      </c>
      <c r="B51" s="127" t="str">
        <f>DATOS!C51</f>
        <v/>
      </c>
      <c r="C51" s="106"/>
      <c r="D51" s="160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  <c r="AA51" s="131"/>
      <c r="AB51" s="131"/>
      <c r="AC51" s="133"/>
      <c r="AD51" s="147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7"/>
      <c r="BH51" s="138"/>
      <c r="BI51" s="161"/>
      <c r="BJ51" s="193"/>
      <c r="BK51" s="193"/>
      <c r="BL51" s="140"/>
      <c r="BM51" s="140"/>
      <c r="BN51" s="140"/>
      <c r="BO51" s="141"/>
      <c r="BP51" s="142"/>
      <c r="BQ51" s="143"/>
      <c r="BR51" s="144"/>
      <c r="BS51" s="162"/>
      <c r="BT51" s="142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</row>
    <row r="52" ht="15.75" customHeight="1">
      <c r="A52" s="104">
        <v>42.0</v>
      </c>
      <c r="B52" s="105" t="str">
        <f>DATOS!C52</f>
        <v/>
      </c>
      <c r="C52" s="106"/>
      <c r="D52" s="104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12"/>
      <c r="AD52" s="149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6"/>
      <c r="BH52" s="117"/>
      <c r="BI52" s="157"/>
      <c r="BJ52" s="194"/>
      <c r="BK52" s="194"/>
      <c r="BL52" s="119"/>
      <c r="BM52" s="119"/>
      <c r="BN52" s="119"/>
      <c r="BO52" s="120"/>
      <c r="BP52" s="121"/>
      <c r="BQ52" s="122"/>
      <c r="BR52" s="154"/>
      <c r="BS52" s="158"/>
      <c r="BT52" s="165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</row>
    <row r="53" ht="15.75" customHeight="1">
      <c r="A53" s="126">
        <v>43.0</v>
      </c>
      <c r="B53" s="127" t="str">
        <f>DATOS!C53</f>
        <v/>
      </c>
      <c r="C53" s="106"/>
      <c r="D53" s="160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  <c r="AA53" s="131"/>
      <c r="AB53" s="131"/>
      <c r="AC53" s="133"/>
      <c r="AD53" s="147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7"/>
      <c r="BH53" s="138"/>
      <c r="BI53" s="161"/>
      <c r="BJ53" s="193"/>
      <c r="BK53" s="193"/>
      <c r="BL53" s="140"/>
      <c r="BM53" s="140"/>
      <c r="BN53" s="140"/>
      <c r="BO53" s="141"/>
      <c r="BP53" s="142"/>
      <c r="BQ53" s="143"/>
      <c r="BR53" s="144"/>
      <c r="BS53" s="162"/>
      <c r="BT53" s="142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</row>
    <row r="54" ht="15.75" customHeight="1">
      <c r="A54" s="104">
        <v>44.0</v>
      </c>
      <c r="B54" s="105" t="str">
        <f>DATOS!C54</f>
        <v/>
      </c>
      <c r="C54" s="106"/>
      <c r="D54" s="104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12"/>
      <c r="AD54" s="149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6"/>
      <c r="BH54" s="117"/>
      <c r="BI54" s="157"/>
      <c r="BJ54" s="194"/>
      <c r="BK54" s="194"/>
      <c r="BL54" s="119"/>
      <c r="BM54" s="119"/>
      <c r="BN54" s="119"/>
      <c r="BO54" s="120"/>
      <c r="BP54" s="121"/>
      <c r="BQ54" s="122"/>
      <c r="BR54" s="154"/>
      <c r="BS54" s="158"/>
      <c r="BT54" s="165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</row>
    <row r="55" ht="15.75" customHeight="1">
      <c r="A55" s="126">
        <v>45.0</v>
      </c>
      <c r="B55" s="127" t="str">
        <f>DATOS!C55</f>
        <v/>
      </c>
      <c r="C55" s="106"/>
      <c r="D55" s="166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B55" s="167"/>
      <c r="AC55" s="169"/>
      <c r="AD55" s="170"/>
      <c r="AE55" s="171"/>
      <c r="AF55" s="171"/>
      <c r="AG55" s="171"/>
      <c r="AH55" s="171"/>
      <c r="AI55" s="171"/>
      <c r="AJ55" s="171"/>
      <c r="AK55" s="171"/>
      <c r="AL55" s="171"/>
      <c r="AM55" s="171"/>
      <c r="AN55" s="171"/>
      <c r="AO55" s="171"/>
      <c r="AP55" s="171"/>
      <c r="AQ55" s="171"/>
      <c r="AR55" s="171"/>
      <c r="AS55" s="171"/>
      <c r="AT55" s="171"/>
      <c r="AU55" s="171"/>
      <c r="AV55" s="171"/>
      <c r="AW55" s="171"/>
      <c r="AX55" s="171"/>
      <c r="AY55" s="171"/>
      <c r="AZ55" s="171"/>
      <c r="BA55" s="171"/>
      <c r="BB55" s="171"/>
      <c r="BC55" s="171"/>
      <c r="BD55" s="171"/>
      <c r="BE55" s="171"/>
      <c r="BF55" s="171"/>
      <c r="BG55" s="172"/>
      <c r="BH55" s="173"/>
      <c r="BI55" s="174"/>
      <c r="BJ55" s="195"/>
      <c r="BK55" s="195"/>
      <c r="BL55" s="175"/>
      <c r="BM55" s="175"/>
      <c r="BN55" s="175"/>
      <c r="BO55" s="176"/>
      <c r="BP55" s="177"/>
      <c r="BQ55" s="178"/>
      <c r="BR55" s="179"/>
      <c r="BS55" s="180"/>
      <c r="BT55" s="177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</row>
    <row r="56">
      <c r="A56" s="24"/>
      <c r="B56" s="23"/>
      <c r="C56" s="23"/>
      <c r="D56" s="23"/>
      <c r="E56" s="23"/>
      <c r="F56" s="23"/>
      <c r="G56" s="23"/>
      <c r="H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4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181">
        <f>AVERAGEIF(BT11:BT55,"&lt;&gt;#¡DIV/0!")</f>
        <v>8</v>
      </c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</row>
    <row r="57" ht="15.75" customHeight="1">
      <c r="A57" s="24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tr">
        <f>IFERROR(__xludf.DUMMYFUNCTION("ARRAY_CONSTRAIN(ARRAYFORMULA(SPARKLINE('3er Trimestre'!R57:U57, {""charttype"",""column"";""color"",""#244061"";""empty"",""ignore"";""nan"",""convert""})), 1, 1)"),"#N/A")</f>
        <v>#N/A</v>
      </c>
      <c r="W57" s="23"/>
      <c r="X57" s="23" t="str">
        <f>IFERROR(__xludf.DUMMYFUNCTION("ARRAY_CONSTRAIN(ARRAYFORMULA(SPARKLINE('3er Trimestre'!T57:W57, {""charttype"",""column"";""color"",""#244061"";""empty"",""ignore"";""nan"",""convert""})), 1, 1)"),"#N/A")</f>
        <v>#N/A</v>
      </c>
      <c r="Y57" s="23" t="str">
        <f>IFERROR(__xludf.DUMMYFUNCTION("ARRAY_CONSTRAIN(ARRAYFORMULA(SPARKLINE('3er Trimestre'!U57:X57, {""charttype"",""column"";""color"",""#244061"";""empty"",""ignore"";""nan"",""convert""})), 1, 1)"),"#N/A")</f>
        <v>#N/A</v>
      </c>
      <c r="Z57" s="23" t="str">
        <f>IFERROR(__xludf.DUMMYFUNCTION("ARRAY_CONSTRAIN(ARRAYFORMULA(SPARKLINE('3er Trimestre'!V57:Y57, {""charttype"",""column"";""color"",""#244061"";""empty"",""ignore"";""nan"",""convert""})), 1, 1)"),"#N/A")</f>
        <v>#N/A</v>
      </c>
      <c r="AA57" s="23"/>
      <c r="AB57" s="23"/>
      <c r="AC57" s="24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</row>
    <row r="58" ht="15.75" customHeight="1">
      <c r="A58" s="24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4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</row>
    <row r="59" ht="15.75" customHeight="1">
      <c r="A59" s="24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4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</row>
    <row r="60" ht="15.75" customHeight="1">
      <c r="A60" s="24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4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</row>
    <row r="61" ht="15.75" customHeight="1">
      <c r="A61" s="2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4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</row>
    <row r="62" ht="15.75" customHeight="1">
      <c r="A62" s="24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4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</row>
    <row r="63" ht="15.75" customHeight="1">
      <c r="A63" s="24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4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</row>
    <row r="64" ht="15.75" customHeight="1">
      <c r="A64" s="24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4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</row>
    <row r="65" ht="15.75" customHeight="1">
      <c r="A65" s="24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4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</row>
    <row r="66" ht="15.75" customHeight="1">
      <c r="A66" s="24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4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</row>
    <row r="67" ht="15.75" customHeight="1">
      <c r="A67" s="24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4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</row>
    <row r="68" ht="15.75" customHeight="1">
      <c r="A68" s="24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4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</row>
    <row r="69" ht="15.75" customHeight="1">
      <c r="A69" s="24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4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</row>
    <row r="70" ht="15.75" customHeight="1">
      <c r="A70" s="24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4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</row>
    <row r="71" ht="15.75" customHeight="1">
      <c r="A71" s="24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4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</row>
    <row r="72" ht="15.75" customHeight="1">
      <c r="A72" s="24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4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</row>
    <row r="73" ht="15.75" customHeight="1">
      <c r="A73" s="24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4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</row>
    <row r="74" ht="15.75" customHeight="1">
      <c r="A74" s="24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4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</row>
    <row r="75" ht="15.75" customHeight="1">
      <c r="A75" s="24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4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</row>
    <row r="76" ht="15.75" customHeight="1">
      <c r="A76" s="24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4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</row>
    <row r="77" ht="15.75" customHeight="1">
      <c r="A77" s="24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4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</row>
    <row r="78" ht="15.75" customHeight="1">
      <c r="A78" s="24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4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</row>
    <row r="79" ht="15.75" customHeight="1">
      <c r="A79" s="24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4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</row>
    <row r="80" ht="15.75" customHeight="1">
      <c r="A80" s="24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4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</row>
    <row r="81" ht="15.75" customHeight="1">
      <c r="A81" s="24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4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</row>
    <row r="82" ht="15.75" customHeight="1">
      <c r="A82" s="24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4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</row>
    <row r="83" ht="15.75" customHeight="1">
      <c r="A83" s="24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4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</row>
    <row r="84" ht="15.75" customHeight="1">
      <c r="A84" s="24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4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</row>
    <row r="85" ht="15.75" customHeight="1">
      <c r="A85" s="24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4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</row>
    <row r="86" ht="15.75" customHeight="1">
      <c r="A86" s="24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4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</row>
    <row r="87" ht="15.75" customHeight="1">
      <c r="A87" s="24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4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</row>
    <row r="88" ht="15.75" customHeight="1">
      <c r="A88" s="24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4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</row>
    <row r="89" ht="15.75" customHeight="1">
      <c r="A89" s="24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4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</row>
    <row r="90" ht="15.75" customHeight="1">
      <c r="A90" s="24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4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</row>
    <row r="91" ht="15.75" customHeight="1">
      <c r="A91" s="24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4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</row>
    <row r="92" ht="15.75" customHeight="1">
      <c r="A92" s="24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4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</row>
    <row r="93" ht="15.75" customHeight="1">
      <c r="A93" s="24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4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</row>
    <row r="94" ht="15.75" customHeight="1">
      <c r="A94" s="24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4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</row>
    <row r="95" ht="15.75" customHeight="1">
      <c r="A95" s="24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4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</row>
    <row r="96" ht="15.75" customHeight="1">
      <c r="A96" s="24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4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</row>
    <row r="97" ht="15.75" customHeight="1">
      <c r="A97" s="24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4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</row>
    <row r="98" ht="15.75" customHeight="1">
      <c r="A98" s="24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4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</row>
    <row r="99" ht="15.75" customHeight="1">
      <c r="A99" s="24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4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</row>
    <row r="100" ht="15.75" customHeight="1">
      <c r="A100" s="24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4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B36:C36"/>
    <mergeCell ref="B37:C37"/>
    <mergeCell ref="B38:C38"/>
    <mergeCell ref="B39:C39"/>
    <mergeCell ref="B40:C40"/>
    <mergeCell ref="B41:C41"/>
    <mergeCell ref="B42:C42"/>
    <mergeCell ref="B50:C50"/>
    <mergeCell ref="B51:C51"/>
    <mergeCell ref="B52:C52"/>
    <mergeCell ref="B53:C53"/>
    <mergeCell ref="B54:C54"/>
    <mergeCell ref="B55:C55"/>
    <mergeCell ref="B43:C43"/>
    <mergeCell ref="B44:C44"/>
    <mergeCell ref="B45:C45"/>
    <mergeCell ref="B46:C46"/>
    <mergeCell ref="B47:C47"/>
    <mergeCell ref="B48:C48"/>
    <mergeCell ref="B49:C49"/>
    <mergeCell ref="A1:C1"/>
    <mergeCell ref="BR1:BS1"/>
    <mergeCell ref="B2:C2"/>
    <mergeCell ref="BR2:BS2"/>
    <mergeCell ref="BI3:BP3"/>
    <mergeCell ref="BR3:BS3"/>
    <mergeCell ref="B4:C4"/>
    <mergeCell ref="BR4:BS4"/>
    <mergeCell ref="BP4:BP9"/>
    <mergeCell ref="BR5:BS5"/>
    <mergeCell ref="BR6:BS6"/>
    <mergeCell ref="BR7:BS7"/>
    <mergeCell ref="BQ9:BQ10"/>
    <mergeCell ref="BR9:BR10"/>
    <mergeCell ref="BS9:BS10"/>
    <mergeCell ref="BT9:BT10"/>
    <mergeCell ref="BI4:BI9"/>
    <mergeCell ref="BJ4:BJ9"/>
    <mergeCell ref="BK4:BK9"/>
    <mergeCell ref="BL4:BL9"/>
    <mergeCell ref="BM4:BM9"/>
    <mergeCell ref="BN4:BN9"/>
    <mergeCell ref="BO4:BO9"/>
    <mergeCell ref="AD9:BH9"/>
    <mergeCell ref="B10:C10"/>
    <mergeCell ref="B11:C11"/>
    <mergeCell ref="B12:C12"/>
    <mergeCell ref="B13:C13"/>
    <mergeCell ref="B14:C14"/>
    <mergeCell ref="D9:AC9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8.0" topLeftCell="D9" activePane="bottomRight" state="frozen"/>
      <selection activeCell="D1" sqref="D1" pane="topRight"/>
      <selection activeCell="A9" sqref="A9" pane="bottomLeft"/>
      <selection activeCell="D9" sqref="D9" pane="bottomRight"/>
    </sheetView>
  </sheetViews>
  <sheetFormatPr customHeight="1" defaultColWidth="12.63" defaultRowHeight="15.0"/>
  <cols>
    <col customWidth="1" min="1" max="1" width="10.0"/>
    <col customWidth="1" min="2" max="2" width="28.88"/>
    <col customWidth="1" min="3" max="3" width="14.88"/>
    <col customWidth="1" min="4" max="4" width="13.38"/>
    <col customWidth="1" min="5" max="5" width="14.0"/>
    <col customWidth="1" min="6" max="6" width="13.0"/>
    <col customWidth="1" min="7" max="7" width="12.38"/>
    <col customWidth="1" min="8" max="8" width="13.13"/>
    <col customWidth="1" min="9" max="28" width="3.75"/>
  </cols>
  <sheetData>
    <row r="1" ht="20.25" customHeight="1">
      <c r="A1" s="21" t="str">
        <f>DATOS!D3</f>
        <v>EST 128</v>
      </c>
      <c r="B1" s="22"/>
      <c r="C1" s="22"/>
      <c r="D1" s="24"/>
      <c r="E1" s="200"/>
      <c r="F1" s="201"/>
      <c r="G1" s="26"/>
      <c r="H1" s="20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ht="21.0" customHeight="1">
      <c r="A2" s="28" t="s">
        <v>42</v>
      </c>
      <c r="B2" s="29" t="str">
        <f>DATOS!D4</f>
        <v>Omar Mata</v>
      </c>
      <c r="C2" s="30"/>
      <c r="D2" s="24"/>
      <c r="E2" s="162"/>
      <c r="F2" s="2"/>
      <c r="G2" s="3"/>
      <c r="H2" s="20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ht="21.0" customHeight="1">
      <c r="A3" s="33" t="s">
        <v>5</v>
      </c>
      <c r="B3" s="34">
        <f>DATOS!D5</f>
        <v>3</v>
      </c>
      <c r="C3" s="34" t="str">
        <f>DATOS!D6</f>
        <v>E</v>
      </c>
      <c r="D3" s="35"/>
      <c r="E3" s="204" t="s">
        <v>64</v>
      </c>
      <c r="H3" s="205">
        <f>'3er Trimestre'!BT56</f>
        <v>8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ht="21.0" customHeight="1">
      <c r="A4" s="47"/>
      <c r="B4" s="48"/>
      <c r="C4" s="48"/>
      <c r="D4" s="23"/>
      <c r="E4" s="206" t="s">
        <v>65</v>
      </c>
      <c r="F4" s="2"/>
      <c r="G4" s="3"/>
      <c r="H4" s="207">
        <f>'2do Trimestre'!BY56</f>
        <v>8.034777778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ht="21.0" customHeight="1">
      <c r="A5" s="47"/>
      <c r="B5" s="48"/>
      <c r="C5" s="48"/>
      <c r="D5" s="23"/>
      <c r="E5" s="208" t="s">
        <v>66</v>
      </c>
      <c r="F5" s="2"/>
      <c r="G5" s="3"/>
      <c r="H5" s="209">
        <f>'1er Trimestre'!BX56</f>
        <v>7.726436782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ht="21.0" customHeight="1">
      <c r="A6" s="47"/>
      <c r="B6" s="48"/>
      <c r="C6" s="48"/>
      <c r="D6" s="23"/>
      <c r="E6" s="210" t="s">
        <v>67</v>
      </c>
      <c r="F6" s="211"/>
      <c r="G6" s="57"/>
      <c r="H6" s="212">
        <f>AVERAGE(H1:H5)</f>
        <v>7.920404853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ht="16.5" customHeight="1">
      <c r="A7" s="47"/>
      <c r="B7" s="59"/>
      <c r="C7" s="59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ht="42.0" customHeight="1">
      <c r="A8" s="213" t="s">
        <v>9</v>
      </c>
      <c r="B8" s="214" t="s">
        <v>54</v>
      </c>
      <c r="C8" s="37"/>
      <c r="D8" s="215" t="s">
        <v>68</v>
      </c>
      <c r="E8" s="216" t="s">
        <v>69</v>
      </c>
      <c r="F8" s="217" t="s">
        <v>70</v>
      </c>
      <c r="G8" s="218"/>
      <c r="H8" s="218"/>
      <c r="I8" s="218"/>
      <c r="J8" s="218"/>
      <c r="K8" s="218"/>
      <c r="L8" s="218"/>
      <c r="M8" s="218"/>
      <c r="N8" s="218"/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</row>
    <row r="9" ht="15.75" customHeight="1">
      <c r="A9" s="219">
        <v>1.0</v>
      </c>
      <c r="B9" s="220" t="str">
        <f>DATOS!C11</f>
        <v>ARMENDARIZ CUELLAR MIA ISABELLA</v>
      </c>
      <c r="C9" s="221"/>
      <c r="D9" s="222">
        <f>'1er Trimestre'!BX11</f>
        <v>8.995238095</v>
      </c>
      <c r="E9" s="223">
        <f>'2do Trimestre'!BY11</f>
        <v>9.633333333</v>
      </c>
      <c r="F9" s="224">
        <f>'3er Trimestre'!BT11</f>
        <v>10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15.75" customHeight="1">
      <c r="A10" s="163">
        <v>2.0</v>
      </c>
      <c r="B10" s="105" t="str">
        <f>DATOS!C12</f>
        <v>BLANCO SALGADO LLUVIA CRISTAL</v>
      </c>
      <c r="C10" s="2"/>
      <c r="D10" s="142">
        <f>'1er Trimestre'!BX12</f>
        <v>7.64</v>
      </c>
      <c r="E10" s="142">
        <f>'2do Trimestre'!BY12</f>
        <v>9.533333333</v>
      </c>
      <c r="F10" s="225">
        <f>'3er Trimestre'!BT12</f>
        <v>10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ht="15.75" customHeight="1">
      <c r="A11" s="226">
        <v>3.0</v>
      </c>
      <c r="B11" s="227" t="str">
        <f>DATOS!C13</f>
        <v>CANTU AGUILAR ASHLEY DAYANA</v>
      </c>
      <c r="C11" s="2"/>
      <c r="D11" s="228">
        <f>'1er Trimestre'!BX13</f>
        <v>7.16</v>
      </c>
      <c r="E11" s="223">
        <f>'2do Trimestre'!BY13</f>
        <v>7.29</v>
      </c>
      <c r="F11" s="224">
        <f>'3er Trimestre'!BT13</f>
        <v>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ht="15.75" customHeight="1">
      <c r="A12" s="163">
        <v>4.0</v>
      </c>
      <c r="B12" s="105" t="str">
        <f>DATOS!C14</f>
        <v>CRUZ HERNÁNDEZ ALAN ABDIEL</v>
      </c>
      <c r="C12" s="2"/>
      <c r="D12" s="142">
        <f>'1er Trimestre'!BX14</f>
        <v>7.71047619</v>
      </c>
      <c r="E12" s="142">
        <f>'2do Trimestre'!BY14</f>
        <v>8.39</v>
      </c>
      <c r="F12" s="225">
        <f>'3er Trimestre'!BT14</f>
        <v>8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15.75" customHeight="1">
      <c r="A13" s="226">
        <v>5.0</v>
      </c>
      <c r="B13" s="227" t="str">
        <f>DATOS!C15</f>
        <v>DE LEON SALINAS VANESA MONSERRAT</v>
      </c>
      <c r="C13" s="2"/>
      <c r="D13" s="228">
        <f>'1er Trimestre'!BX15</f>
        <v>8.119047619</v>
      </c>
      <c r="E13" s="223">
        <f>'2do Trimestre'!BY15</f>
        <v>8.4</v>
      </c>
      <c r="F13" s="224">
        <f>'3er Trimestre'!BT15</f>
        <v>8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15.75" customHeight="1">
      <c r="A14" s="163">
        <v>6.0</v>
      </c>
      <c r="B14" s="105" t="str">
        <f>DATOS!C16</f>
        <v>DORIA GUERRA DAILY ALESSANDRA</v>
      </c>
      <c r="C14" s="2"/>
      <c r="D14" s="142">
        <f>'1er Trimestre'!BX16</f>
        <v>9.164761905</v>
      </c>
      <c r="E14" s="142">
        <f>'2do Trimestre'!BY16</f>
        <v>9.833333333</v>
      </c>
      <c r="F14" s="225">
        <f>'3er Trimestre'!BT16</f>
        <v>10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15.75" customHeight="1">
      <c r="A15" s="226">
        <v>7.0</v>
      </c>
      <c r="B15" s="227" t="str">
        <f>DATOS!C17</f>
        <v>ELIZONDO ROMERO MONTSERRAT GUADALUPE</v>
      </c>
      <c r="C15" s="2"/>
      <c r="D15" s="228">
        <f>'1er Trimestre'!BX17</f>
        <v>8.79047619</v>
      </c>
      <c r="E15" s="223">
        <f>'2do Trimestre'!BY17</f>
        <v>9</v>
      </c>
      <c r="F15" s="224">
        <f>'3er Trimestre'!BT17</f>
        <v>9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ht="15.75" customHeight="1">
      <c r="A16" s="163">
        <v>8.0</v>
      </c>
      <c r="B16" s="105" t="str">
        <f>DATOS!C18</f>
        <v>GARCIA PINEDA IKER ALEJANDRO</v>
      </c>
      <c r="C16" s="2"/>
      <c r="D16" s="142">
        <f>'1er Trimestre'!BX18</f>
        <v>8.131428571</v>
      </c>
      <c r="E16" s="142">
        <f>'2do Trimestre'!BY18</f>
        <v>8.99</v>
      </c>
      <c r="F16" s="225">
        <f>'3er Trimestre'!BT18</f>
        <v>9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ht="15.75" customHeight="1">
      <c r="A17" s="226">
        <v>9.0</v>
      </c>
      <c r="B17" s="227" t="str">
        <f>DATOS!C19</f>
        <v>GONZÁLEZ HERNÁNDEZ LUIS Á_x0081_NGEL</v>
      </c>
      <c r="C17" s="2"/>
      <c r="D17" s="228">
        <f>'1er Trimestre'!BX19</f>
        <v>7.64</v>
      </c>
      <c r="E17" s="223">
        <f>'2do Trimestre'!BY19</f>
        <v>8.3</v>
      </c>
      <c r="F17" s="224">
        <f>'3er Trimestre'!BT19</f>
        <v>8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ht="15.75" customHeight="1">
      <c r="A18" s="163">
        <v>10.0</v>
      </c>
      <c r="B18" s="105" t="str">
        <f>DATOS!C20</f>
        <v>GRIMALDO PUENTE  SAMANTHA SARAHI</v>
      </c>
      <c r="C18" s="2"/>
      <c r="D18" s="142">
        <f>'1er Trimestre'!BX20</f>
        <v>8.995238095</v>
      </c>
      <c r="E18" s="142">
        <f>'2do Trimestre'!BY20</f>
        <v>9.43</v>
      </c>
      <c r="F18" s="225">
        <f>'3er Trimestre'!BT20</f>
        <v>9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ht="15.75" customHeight="1">
      <c r="A19" s="226">
        <v>11.0</v>
      </c>
      <c r="B19" s="227" t="str">
        <f>DATOS!C21</f>
        <v>GUERRERO RODRIGUEZ KEYSHA CECILIA</v>
      </c>
      <c r="C19" s="2"/>
      <c r="D19" s="228">
        <f>'1er Trimestre'!BX21</f>
        <v>5.647619048</v>
      </c>
      <c r="E19" s="223">
        <f>'2do Trimestre'!BY21</f>
        <v>5.79</v>
      </c>
      <c r="F19" s="224">
        <f>'3er Trimestre'!BT21</f>
        <v>7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ht="15.75" customHeight="1">
      <c r="A20" s="163">
        <v>12.0</v>
      </c>
      <c r="B20" s="105" t="str">
        <f>DATOS!C22</f>
        <v>HERNANDEZ CRUZ VIRIDIANA MARIE</v>
      </c>
      <c r="C20" s="2"/>
      <c r="D20" s="142">
        <f>'1er Trimestre'!BX22</f>
        <v>8.34</v>
      </c>
      <c r="E20" s="142">
        <f>'2do Trimestre'!BY22</f>
        <v>9.29</v>
      </c>
      <c r="F20" s="225">
        <f>'3er Trimestre'!BT22</f>
        <v>9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ht="15.75" customHeight="1">
      <c r="A21" s="226">
        <v>13.0</v>
      </c>
      <c r="B21" s="227" t="str">
        <f>DATOS!C23</f>
        <v>HERNANDEZ RAMIREZ WALTER JONAS</v>
      </c>
      <c r="C21" s="2"/>
      <c r="D21" s="228">
        <f>'1er Trimestre'!BX23</f>
        <v>5.8</v>
      </c>
      <c r="E21" s="223">
        <f>'2do Trimestre'!BY23</f>
        <v>5.6</v>
      </c>
      <c r="F21" s="224">
        <f>'3er Trimestre'!BT23</f>
        <v>6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ht="15.75" customHeight="1">
      <c r="A22" s="163">
        <v>14.0</v>
      </c>
      <c r="B22" s="105" t="str">
        <f>DATOS!C24</f>
        <v>HERNÁNDEZ SALAZAR DIEGO ALDAIR</v>
      </c>
      <c r="C22" s="2"/>
      <c r="D22" s="142">
        <f>'1er Trimestre'!BX24</f>
        <v>5.2</v>
      </c>
      <c r="E22" s="142">
        <f>'2do Trimestre'!BY24</f>
        <v>5.87</v>
      </c>
      <c r="F22" s="225">
        <f>'3er Trimestre'!BT24</f>
        <v>6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ht="15.75" customHeight="1">
      <c r="A23" s="226">
        <v>15.0</v>
      </c>
      <c r="B23" s="227" t="str">
        <f>DATOS!C25</f>
        <v>JIMENEZ SALAZAR WALTHER DANIEL</v>
      </c>
      <c r="C23" s="2"/>
      <c r="D23" s="228">
        <f>'1er Trimestre'!BX25</f>
        <v>8.077142857</v>
      </c>
      <c r="E23" s="223">
        <f>'2do Trimestre'!BY25</f>
        <v>8.2</v>
      </c>
      <c r="F23" s="224">
        <f>'3er Trimestre'!BT25</f>
        <v>9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ht="15.75" customHeight="1">
      <c r="A24" s="163">
        <v>16.0</v>
      </c>
      <c r="B24" s="105" t="str">
        <f>DATOS!C26</f>
        <v>MATA MONTES YAEL</v>
      </c>
      <c r="C24" s="2"/>
      <c r="D24" s="142">
        <f>'1er Trimestre'!BX26</f>
        <v>7.271428571</v>
      </c>
      <c r="E24" s="142">
        <f>'2do Trimestre'!BY26</f>
        <v>7.31</v>
      </c>
      <c r="F24" s="225">
        <f>'3er Trimestre'!BT26</f>
        <v>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ht="15.75" customHeight="1">
      <c r="A25" s="226">
        <v>17.0</v>
      </c>
      <c r="B25" s="227" t="str">
        <f>DATOS!C27</f>
        <v>MEZA TURRUBIATES BRITANY YAHIRALIZ</v>
      </c>
      <c r="C25" s="2"/>
      <c r="D25" s="228">
        <f>'1er Trimestre'!BX27</f>
        <v>8.2</v>
      </c>
      <c r="E25" s="223">
        <f>'2do Trimestre'!BY27</f>
        <v>9.02</v>
      </c>
      <c r="F25" s="224">
        <f>'3er Trimestre'!BT27</f>
        <v>9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ht="15.75" customHeight="1">
      <c r="A26" s="163">
        <v>18.0</v>
      </c>
      <c r="B26" s="105" t="str">
        <f>DATOS!C28</f>
        <v>PEÑA MEDELLÍN CORAL ANJURY</v>
      </c>
      <c r="C26" s="2"/>
      <c r="D26" s="142">
        <f>'1er Trimestre'!BX28</f>
        <v>7.7</v>
      </c>
      <c r="E26" s="142">
        <f>'2do Trimestre'!BY28</f>
        <v>6</v>
      </c>
      <c r="F26" s="225">
        <f>'3er Trimestre'!BT28</f>
        <v>6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ht="15.75" customHeight="1">
      <c r="A27" s="226">
        <v>19.0</v>
      </c>
      <c r="B27" s="227" t="str">
        <f>DATOS!C29</f>
        <v>RAMIREZ GUEIXPAL VANIA GUADALUPE</v>
      </c>
      <c r="C27" s="2"/>
      <c r="D27" s="228">
        <f>'1er Trimestre'!BX29</f>
        <v>9.1</v>
      </c>
      <c r="E27" s="223">
        <f>'2do Trimestre'!BY29</f>
        <v>9.833333333</v>
      </c>
      <c r="F27" s="224">
        <f>'3er Trimestre'!BT29</f>
        <v>10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ht="15.75" customHeight="1">
      <c r="A28" s="163">
        <v>20.0</v>
      </c>
      <c r="B28" s="105" t="str">
        <f>DATOS!C30</f>
        <v>RAMIREZ MARTINEZ EDWIN EMMANUEL</v>
      </c>
      <c r="C28" s="2"/>
      <c r="D28" s="142">
        <f>'1er Trimestre'!BX30</f>
        <v>8.14952381</v>
      </c>
      <c r="E28" s="142">
        <f>'2do Trimestre'!BY30</f>
        <v>7.2</v>
      </c>
      <c r="F28" s="225">
        <f>'3er Trimestre'!BT30</f>
        <v>6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ht="15.75" customHeight="1">
      <c r="A29" s="226">
        <v>21.0</v>
      </c>
      <c r="B29" s="227" t="str">
        <f>DATOS!C31</f>
        <v>RANGEL GARCÍA DANIEL TIMOTEO</v>
      </c>
      <c r="C29" s="2"/>
      <c r="D29" s="228">
        <f>'1er Trimestre'!BX31</f>
        <v>7.52</v>
      </c>
      <c r="E29" s="223">
        <f>'2do Trimestre'!BY31</f>
        <v>7.4</v>
      </c>
      <c r="F29" s="224">
        <f>'3er Trimestre'!BT31</f>
        <v>7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ht="15.75" customHeight="1">
      <c r="A30" s="163">
        <v>22.0</v>
      </c>
      <c r="B30" s="105" t="str">
        <f>DATOS!C32</f>
        <v>ROCHA RAMÍREZ CRISTIAN GUADALUPE</v>
      </c>
      <c r="C30" s="2"/>
      <c r="D30" s="142">
        <f>'1er Trimestre'!BX32</f>
        <v>5.9</v>
      </c>
      <c r="E30" s="142">
        <f>'2do Trimestre'!BY32</f>
        <v>6.1</v>
      </c>
      <c r="F30" s="225">
        <f>'3er Trimestre'!BT32</f>
        <v>6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ht="15.75" customHeight="1">
      <c r="A31" s="226">
        <v>23.0</v>
      </c>
      <c r="B31" s="227" t="str">
        <f>DATOS!C33</f>
        <v>RODULFO ARGÜELLO ISAÍAS TADEO</v>
      </c>
      <c r="C31" s="2"/>
      <c r="D31" s="228">
        <f>'1er Trimestre'!BX33</f>
        <v>7.86952381</v>
      </c>
      <c r="E31" s="223">
        <f>'2do Trimestre'!BY33</f>
        <v>7.366666667</v>
      </c>
      <c r="F31" s="224">
        <f>'3er Trimestre'!BT33</f>
        <v>8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ht="15.75" customHeight="1">
      <c r="A32" s="163">
        <v>24.0</v>
      </c>
      <c r="B32" s="105" t="str">
        <f>DATOS!C34</f>
        <v>RUBIO HERNÁNDEZ EVELIN</v>
      </c>
      <c r="C32" s="2"/>
      <c r="D32" s="142">
        <f>'1er Trimestre'!BX34</f>
        <v>9.12</v>
      </c>
      <c r="E32" s="142">
        <f>'2do Trimestre'!BY34</f>
        <v>9.75</v>
      </c>
      <c r="F32" s="225">
        <f>'3er Trimestre'!BT34</f>
        <v>10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ht="15.75" customHeight="1">
      <c r="A33" s="226">
        <v>25.0</v>
      </c>
      <c r="B33" s="227" t="str">
        <f>DATOS!C35</f>
        <v>SALAZAR GOMEZ OSVALDO DAMIAN</v>
      </c>
      <c r="C33" s="2"/>
      <c r="D33" s="228">
        <f>'1er Trimestre'!BX35</f>
        <v>8.219047619</v>
      </c>
      <c r="E33" s="223">
        <f>'2do Trimestre'!BY35</f>
        <v>8.4</v>
      </c>
      <c r="F33" s="224">
        <f>'3er Trimestre'!BT35</f>
        <v>8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ht="15.75" customHeight="1">
      <c r="A34" s="163">
        <v>26.0</v>
      </c>
      <c r="B34" s="105" t="str">
        <f>DATOS!C36</f>
        <v>SANTIAGO DEL ANGEL JESUS ANTONIO</v>
      </c>
      <c r="C34" s="2"/>
      <c r="D34" s="142">
        <f>'1er Trimestre'!BX36</f>
        <v>8.496190476</v>
      </c>
      <c r="E34" s="142">
        <f>'2do Trimestre'!BY36</f>
        <v>8.29</v>
      </c>
      <c r="F34" s="225">
        <f>'3er Trimestre'!BT36</f>
        <v>8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ht="15.75" customHeight="1">
      <c r="A35" s="226">
        <v>27.0</v>
      </c>
      <c r="B35" s="227" t="str">
        <f>DATOS!C37</f>
        <v>SILVA GONZALEZ LEONARDO SAID</v>
      </c>
      <c r="C35" s="2"/>
      <c r="D35" s="228">
        <f>'1er Trimestre'!BX37</f>
        <v>7.5</v>
      </c>
      <c r="E35" s="223">
        <f>'2do Trimestre'!BY37</f>
        <v>7.29</v>
      </c>
      <c r="F35" s="224">
        <f>'3er Trimestre'!BT37</f>
        <v>7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ht="15.75" customHeight="1">
      <c r="A36" s="163">
        <v>28.0</v>
      </c>
      <c r="B36" s="105" t="str">
        <f>DATOS!C38</f>
        <v>TOBIAS LOZANO ESTEFANY LIZBETH</v>
      </c>
      <c r="C36" s="2"/>
      <c r="D36" s="142">
        <f>'1er Trimestre'!BX38</f>
        <v>7.7</v>
      </c>
      <c r="E36" s="142">
        <f>'2do Trimestre'!BY38</f>
        <v>7.5</v>
      </c>
      <c r="F36" s="225">
        <f>'3er Trimestre'!BT38</f>
        <v>8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ht="15.75" customHeight="1">
      <c r="A37" s="226">
        <v>29.0</v>
      </c>
      <c r="B37" s="227" t="str">
        <f>DATOS!C39</f>
        <v>TORRES MEDINA JOSHLEY ALEJANDRO</v>
      </c>
      <c r="C37" s="2"/>
      <c r="D37" s="228">
        <f>'1er Trimestre'!BX39</f>
        <v>5.90952381</v>
      </c>
      <c r="E37" s="223">
        <f>'2do Trimestre'!BY39</f>
        <v>6.3</v>
      </c>
      <c r="F37" s="224">
        <f>'3er Trimestre'!BT39</f>
        <v>6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ht="15.75" customHeight="1">
      <c r="A38" s="163">
        <v>30.0</v>
      </c>
      <c r="B38" s="105" t="str">
        <f>DATOS!C40</f>
        <v>RAMÍREZ CORREA ALISSON</v>
      </c>
      <c r="C38" s="2"/>
      <c r="D38" s="142" t="str">
        <f>'1er Trimestre'!BX40</f>
        <v/>
      </c>
      <c r="E38" s="142">
        <f>'2do Trimestre'!BY40</f>
        <v>9.733333333</v>
      </c>
      <c r="F38" s="225">
        <f>'3er Trimestre'!BT40</f>
        <v>9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ht="15.75" customHeight="1">
      <c r="A39" s="226">
        <v>31.0</v>
      </c>
      <c r="B39" s="227" t="str">
        <f>DATOS!C41</f>
        <v/>
      </c>
      <c r="C39" s="2"/>
      <c r="D39" s="228" t="str">
        <f>'1er Trimestre'!BX41</f>
        <v/>
      </c>
      <c r="E39" s="223"/>
      <c r="F39" s="224" t="str">
        <f>'3er Trimestre'!BT41</f>
        <v/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ht="15.75" customHeight="1">
      <c r="A40" s="163">
        <v>32.0</v>
      </c>
      <c r="B40" s="105" t="str">
        <f>DATOS!C42</f>
        <v/>
      </c>
      <c r="C40" s="2"/>
      <c r="D40" s="142" t="str">
        <f>'1er Trimestre'!BX42</f>
        <v/>
      </c>
      <c r="E40" s="142"/>
      <c r="F40" s="225" t="str">
        <f>'3er Trimestre'!BT42</f>
        <v/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ht="15.75" customHeight="1">
      <c r="A41" s="226">
        <v>33.0</v>
      </c>
      <c r="B41" s="227" t="str">
        <f>DATOS!C43</f>
        <v/>
      </c>
      <c r="C41" s="2"/>
      <c r="D41" s="228" t="str">
        <f>'1er Trimestre'!BX43</f>
        <v/>
      </c>
      <c r="E41" s="223"/>
      <c r="F41" s="224" t="str">
        <f>'3er Trimestre'!BT43</f>
        <v/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ht="15.75" customHeight="1">
      <c r="A42" s="163">
        <v>34.0</v>
      </c>
      <c r="B42" s="105" t="str">
        <f>DATOS!C44</f>
        <v/>
      </c>
      <c r="C42" s="2"/>
      <c r="D42" s="142" t="str">
        <f>'1er Trimestre'!BX44</f>
        <v/>
      </c>
      <c r="E42" s="142"/>
      <c r="F42" s="225" t="str">
        <f>'3er Trimestre'!BT44</f>
        <v/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ht="15.75" customHeight="1">
      <c r="A43" s="226">
        <v>35.0</v>
      </c>
      <c r="B43" s="227" t="str">
        <f>DATOS!C45</f>
        <v/>
      </c>
      <c r="C43" s="2"/>
      <c r="D43" s="228" t="str">
        <f>'1er Trimestre'!BX45</f>
        <v/>
      </c>
      <c r="E43" s="223"/>
      <c r="F43" s="224" t="str">
        <f>'3er Trimestre'!BT45</f>
        <v/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ht="15.75" customHeight="1">
      <c r="A44" s="163">
        <v>36.0</v>
      </c>
      <c r="B44" s="105" t="str">
        <f>DATOS!C46</f>
        <v/>
      </c>
      <c r="C44" s="2"/>
      <c r="D44" s="142" t="str">
        <f>'1er Trimestre'!BX46</f>
        <v/>
      </c>
      <c r="E44" s="142"/>
      <c r="F44" s="225" t="str">
        <f>'3er Trimestre'!BT46</f>
        <v/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ht="15.75" customHeight="1">
      <c r="A45" s="226">
        <v>37.0</v>
      </c>
      <c r="B45" s="227" t="str">
        <f>DATOS!C47</f>
        <v/>
      </c>
      <c r="C45" s="2"/>
      <c r="D45" s="228" t="str">
        <f>'1er Trimestre'!BX47</f>
        <v/>
      </c>
      <c r="E45" s="223"/>
      <c r="F45" s="224" t="str">
        <f>'3er Trimestre'!BT47</f>
        <v/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ht="15.75" customHeight="1">
      <c r="A46" s="163">
        <v>38.0</v>
      </c>
      <c r="B46" s="105" t="str">
        <f>DATOS!C48</f>
        <v/>
      </c>
      <c r="C46" s="2"/>
      <c r="D46" s="142" t="str">
        <f>'1er Trimestre'!BX48</f>
        <v/>
      </c>
      <c r="E46" s="142"/>
      <c r="F46" s="225" t="str">
        <f>'3er Trimestre'!BT48</f>
        <v/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ht="15.75" customHeight="1">
      <c r="A47" s="226">
        <v>39.0</v>
      </c>
      <c r="B47" s="227" t="str">
        <f>DATOS!C49</f>
        <v/>
      </c>
      <c r="C47" s="2"/>
      <c r="D47" s="228" t="str">
        <f>'1er Trimestre'!BX49</f>
        <v/>
      </c>
      <c r="E47" s="223"/>
      <c r="F47" s="224" t="str">
        <f>'3er Trimestre'!BT49</f>
        <v/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ht="15.75" customHeight="1">
      <c r="A48" s="163">
        <v>40.0</v>
      </c>
      <c r="B48" s="105" t="str">
        <f>DATOS!C50</f>
        <v/>
      </c>
      <c r="C48" s="2"/>
      <c r="D48" s="142" t="str">
        <f>'1er Trimestre'!BX50</f>
        <v/>
      </c>
      <c r="E48" s="142"/>
      <c r="F48" s="225" t="str">
        <f>'3er Trimestre'!BT50</f>
        <v/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ht="15.75" customHeight="1">
      <c r="A49" s="226">
        <v>41.0</v>
      </c>
      <c r="B49" s="227" t="str">
        <f>DATOS!C51</f>
        <v/>
      </c>
      <c r="C49" s="2"/>
      <c r="D49" s="228" t="str">
        <f>'1er Trimestre'!BX51</f>
        <v/>
      </c>
      <c r="E49" s="223"/>
      <c r="F49" s="224" t="str">
        <f>'3er Trimestre'!BT51</f>
        <v/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ht="15.75" customHeight="1">
      <c r="A50" s="163">
        <v>42.0</v>
      </c>
      <c r="B50" s="105" t="str">
        <f>DATOS!C52</f>
        <v/>
      </c>
      <c r="C50" s="2"/>
      <c r="D50" s="142" t="str">
        <f>'1er Trimestre'!BX52</f>
        <v/>
      </c>
      <c r="E50" s="142"/>
      <c r="F50" s="225" t="str">
        <f>'3er Trimestre'!BT52</f>
        <v/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ht="15.75" customHeight="1">
      <c r="A51" s="226">
        <v>43.0</v>
      </c>
      <c r="B51" s="227" t="str">
        <f>DATOS!C53</f>
        <v/>
      </c>
      <c r="C51" s="2"/>
      <c r="D51" s="228" t="str">
        <f>'1er Trimestre'!BX53</f>
        <v/>
      </c>
      <c r="E51" s="223"/>
      <c r="F51" s="224" t="str">
        <f>'3er Trimestre'!BT53</f>
        <v/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ht="15.75" customHeight="1">
      <c r="A52" s="163">
        <v>44.0</v>
      </c>
      <c r="B52" s="105" t="str">
        <f>DATOS!C54</f>
        <v/>
      </c>
      <c r="C52" s="2"/>
      <c r="D52" s="142" t="str">
        <f>'1er Trimestre'!BX54</f>
        <v/>
      </c>
      <c r="E52" s="142"/>
      <c r="F52" s="225" t="str">
        <f>'3er Trimestre'!BT54</f>
        <v/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ht="15.75" customHeight="1">
      <c r="A53" s="163">
        <v>45.0</v>
      </c>
      <c r="B53" s="105" t="str">
        <f>DATOS!C55</f>
        <v/>
      </c>
      <c r="C53" s="2"/>
      <c r="D53" s="228" t="str">
        <f>'1er Trimestre'!BX55</f>
        <v/>
      </c>
      <c r="E53" s="223"/>
      <c r="F53" s="224" t="str">
        <f>'3er Trimestre'!BT55</f>
        <v/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4"/>
      <c r="B54" s="23"/>
      <c r="C54" s="23"/>
      <c r="D54" s="229">
        <f t="shared" ref="D54:F54" si="1">AVERAGEIF(D9:D53,"&lt;&gt;#¡DIV/0!")</f>
        <v>7.726436782</v>
      </c>
      <c r="E54" s="229">
        <f t="shared" si="1"/>
        <v>8.034777778</v>
      </c>
      <c r="F54" s="229">
        <f t="shared" si="1"/>
        <v>8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ht="15.75" customHeight="1">
      <c r="A55" s="24"/>
      <c r="B55" s="23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</row>
    <row r="56" ht="15.75" customHeight="1">
      <c r="A56" s="24"/>
      <c r="B56" s="23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</row>
    <row r="57" ht="15.75" customHeight="1">
      <c r="A57" s="24"/>
      <c r="B57" s="23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</row>
    <row r="58" ht="15.75" customHeight="1">
      <c r="A58" s="24"/>
      <c r="B58" s="23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</row>
    <row r="59" ht="15.75" customHeight="1">
      <c r="A59" s="24"/>
      <c r="B59" s="23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</row>
    <row r="60" ht="15.75" customHeight="1">
      <c r="A60" s="24"/>
      <c r="B60" s="23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</row>
    <row r="61" ht="15.75" customHeight="1">
      <c r="A61" s="24"/>
      <c r="B61" s="23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</row>
    <row r="62" ht="15.75" customHeight="1">
      <c r="A62" s="24"/>
      <c r="B62" s="23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</row>
    <row r="63" ht="15.75" customHeight="1">
      <c r="A63" s="24"/>
      <c r="B63" s="23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</row>
    <row r="64" ht="15.75" customHeight="1">
      <c r="A64" s="24"/>
      <c r="B64" s="23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</row>
    <row r="65" ht="15.75" customHeight="1">
      <c r="A65" s="24"/>
      <c r="B65" s="23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</row>
    <row r="66" ht="15.75" customHeight="1">
      <c r="A66" s="24"/>
      <c r="B66" s="23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</row>
    <row r="67" ht="15.75" customHeight="1">
      <c r="A67" s="24"/>
      <c r="B67" s="23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</row>
    <row r="68" ht="15.75" customHeight="1">
      <c r="A68" s="24"/>
      <c r="B68" s="23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</row>
    <row r="69" ht="15.75" customHeight="1">
      <c r="A69" s="24"/>
      <c r="B69" s="23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</row>
    <row r="70" ht="15.75" customHeight="1">
      <c r="A70" s="24"/>
      <c r="B70" s="23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</row>
    <row r="71" ht="15.75" customHeight="1">
      <c r="A71" s="24"/>
      <c r="B71" s="23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</row>
    <row r="72" ht="15.75" customHeight="1">
      <c r="A72" s="24"/>
      <c r="B72" s="23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</row>
    <row r="73" ht="15.75" customHeight="1">
      <c r="A73" s="24"/>
      <c r="B73" s="23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</row>
    <row r="74" ht="15.75" customHeight="1">
      <c r="A74" s="24"/>
      <c r="B74" s="23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</row>
    <row r="75" ht="15.75" customHeight="1">
      <c r="A75" s="24"/>
      <c r="B75" s="23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</row>
    <row r="76" ht="15.75" customHeight="1">
      <c r="A76" s="24"/>
      <c r="B76" s="23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</row>
    <row r="77" ht="15.75" customHeight="1">
      <c r="A77" s="24"/>
      <c r="B77" s="23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</row>
    <row r="78" ht="15.75" customHeight="1">
      <c r="A78" s="24"/>
      <c r="B78" s="23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</row>
    <row r="79" ht="15.75" customHeight="1">
      <c r="A79" s="24"/>
      <c r="B79" s="23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</row>
    <row r="80" ht="15.75" customHeight="1">
      <c r="A80" s="24"/>
      <c r="B80" s="23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</row>
    <row r="81" ht="15.75" customHeight="1">
      <c r="A81" s="24"/>
      <c r="B81" s="23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</row>
    <row r="82" ht="15.75" customHeight="1">
      <c r="A82" s="24"/>
      <c r="B82" s="23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</row>
    <row r="83" ht="15.75" customHeight="1">
      <c r="A83" s="24"/>
      <c r="B83" s="23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</row>
    <row r="84" ht="15.75" customHeight="1">
      <c r="A84" s="24"/>
      <c r="B84" s="23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</row>
    <row r="85" ht="15.75" customHeight="1">
      <c r="A85" s="24"/>
      <c r="B85" s="23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</row>
    <row r="86" ht="15.75" customHeight="1">
      <c r="A86" s="24"/>
      <c r="B86" s="23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ht="15.75" customHeight="1">
      <c r="A87" s="24"/>
      <c r="B87" s="23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ht="15.75" customHeight="1">
      <c r="A88" s="24"/>
      <c r="B88" s="23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ht="15.75" customHeight="1">
      <c r="A89" s="24"/>
      <c r="B89" s="23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ht="15.75" customHeight="1">
      <c r="A90" s="24"/>
      <c r="B90" s="23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ht="15.75" customHeight="1">
      <c r="A91" s="24"/>
      <c r="B91" s="23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ht="15.75" customHeight="1">
      <c r="A92" s="24"/>
      <c r="B92" s="23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ht="15.75" customHeight="1">
      <c r="A93" s="24"/>
      <c r="B93" s="23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15.75" customHeight="1">
      <c r="A94" s="24"/>
      <c r="B94" s="23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15.75" customHeight="1">
      <c r="A95" s="24"/>
      <c r="B95" s="23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15.75" customHeight="1">
      <c r="A96" s="24"/>
      <c r="B96" s="23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15.75" customHeight="1">
      <c r="A97" s="24"/>
      <c r="B97" s="23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15.75" customHeight="1">
      <c r="A98" s="24"/>
      <c r="B98" s="23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15.75" customHeight="1">
      <c r="A99" s="24"/>
      <c r="B99" s="23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15.75" customHeight="1">
      <c r="A100" s="24"/>
      <c r="B100" s="23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15.75" customHeight="1">
      <c r="A101" s="24"/>
      <c r="B101" s="23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4">
    <mergeCell ref="A1:C1"/>
    <mergeCell ref="E1:G1"/>
    <mergeCell ref="B2:C2"/>
    <mergeCell ref="E2:G2"/>
    <mergeCell ref="E6:G6"/>
    <mergeCell ref="E4:G4"/>
    <mergeCell ref="E5:G5"/>
    <mergeCell ref="E3:G3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50:C50"/>
    <mergeCell ref="B51:C51"/>
    <mergeCell ref="B52:C52"/>
    <mergeCell ref="B53:C53"/>
    <mergeCell ref="B43:C43"/>
    <mergeCell ref="B44:C44"/>
    <mergeCell ref="B45:C45"/>
    <mergeCell ref="B46:C46"/>
    <mergeCell ref="B47:C47"/>
    <mergeCell ref="B48:C48"/>
    <mergeCell ref="B49:C4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3300"/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37.38"/>
    <col customWidth="1" min="3" max="3" width="33.63"/>
    <col customWidth="1" min="4" max="6" width="11.38"/>
    <col customWidth="1" min="7" max="12" width="10.75"/>
    <col customWidth="1" min="13" max="26" width="14.38"/>
  </cols>
  <sheetData>
    <row r="1" ht="18.75" customHeight="1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</row>
    <row r="2" ht="18.75" customHeight="1">
      <c r="A2" s="230"/>
      <c r="B2" s="231" t="s">
        <v>0</v>
      </c>
      <c r="C2" s="3"/>
      <c r="D2" s="230"/>
      <c r="E2" s="230"/>
      <c r="F2" s="230"/>
      <c r="G2" s="230"/>
      <c r="H2" s="230"/>
      <c r="I2" s="230"/>
      <c r="J2" s="230"/>
      <c r="K2" s="230"/>
      <c r="L2" s="230"/>
    </row>
    <row r="3" ht="18.75" customHeight="1">
      <c r="A3" s="230"/>
      <c r="B3" s="232" t="s">
        <v>1</v>
      </c>
      <c r="C3" s="233" t="str">
        <f>DATOS!D3</f>
        <v>EST 128</v>
      </c>
      <c r="D3" s="230"/>
      <c r="E3" s="230"/>
      <c r="F3" s="230"/>
      <c r="G3" s="230"/>
      <c r="H3" s="230"/>
      <c r="I3" s="230"/>
      <c r="J3" s="230"/>
      <c r="K3" s="230"/>
      <c r="L3" s="230"/>
    </row>
    <row r="4" ht="18.75" customHeight="1">
      <c r="A4" s="230"/>
      <c r="B4" s="234" t="s">
        <v>3</v>
      </c>
      <c r="C4" s="235" t="str">
        <f>DATOS!D4</f>
        <v>Omar Mata</v>
      </c>
      <c r="D4" s="230"/>
      <c r="E4" s="230"/>
      <c r="F4" s="230"/>
      <c r="G4" s="230"/>
      <c r="H4" s="230"/>
      <c r="I4" s="230"/>
      <c r="J4" s="230"/>
      <c r="K4" s="230"/>
      <c r="L4" s="230"/>
    </row>
    <row r="5" ht="18.75" customHeight="1">
      <c r="A5" s="230"/>
      <c r="B5" s="236" t="s">
        <v>5</v>
      </c>
      <c r="C5" s="233">
        <f>DATOS!D5</f>
        <v>3</v>
      </c>
      <c r="D5" s="230"/>
      <c r="E5" s="230"/>
      <c r="F5" s="230"/>
      <c r="G5" s="230"/>
      <c r="H5" s="230"/>
      <c r="I5" s="230"/>
      <c r="J5" s="230"/>
      <c r="K5" s="230"/>
      <c r="L5" s="230"/>
    </row>
    <row r="6" ht="18.75" customHeight="1">
      <c r="A6" s="230"/>
      <c r="B6" s="234" t="s">
        <v>6</v>
      </c>
      <c r="C6" s="235" t="str">
        <f>DATOS!D6</f>
        <v>E</v>
      </c>
      <c r="D6" s="230"/>
      <c r="E6" s="230"/>
      <c r="F6" s="230"/>
      <c r="G6" s="230"/>
      <c r="H6" s="230"/>
      <c r="I6" s="230"/>
      <c r="J6" s="230"/>
      <c r="K6" s="230"/>
      <c r="L6" s="230"/>
    </row>
    <row r="7" ht="18.75" customHeight="1">
      <c r="A7" s="230"/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</row>
    <row r="8" ht="18.75" customHeight="1">
      <c r="A8" s="230"/>
      <c r="B8" s="237" t="s">
        <v>71</v>
      </c>
      <c r="C8" s="238" t="s">
        <v>72</v>
      </c>
      <c r="D8" s="230"/>
      <c r="E8" s="230"/>
      <c r="F8" s="230"/>
      <c r="G8" s="230"/>
      <c r="H8" s="230"/>
      <c r="I8" s="230"/>
      <c r="J8" s="230"/>
      <c r="K8" s="230"/>
      <c r="L8" s="230"/>
    </row>
    <row r="9" ht="18.75" customHeight="1">
      <c r="A9" s="230"/>
      <c r="B9" s="234"/>
      <c r="C9" s="239"/>
      <c r="D9" s="230"/>
      <c r="E9" s="230"/>
      <c r="F9" s="230"/>
      <c r="G9" s="230"/>
      <c r="H9" s="230"/>
      <c r="I9" s="230"/>
      <c r="J9" s="230"/>
      <c r="K9" s="230"/>
      <c r="L9" s="230"/>
    </row>
    <row r="10" ht="18.75" customHeight="1">
      <c r="A10" s="230"/>
      <c r="B10" s="240" t="s">
        <v>70</v>
      </c>
      <c r="C10" s="239">
        <f>CONCENTRADO!F54</f>
        <v>8</v>
      </c>
      <c r="D10" s="230"/>
      <c r="E10" s="230"/>
      <c r="F10" s="230"/>
      <c r="G10" s="230"/>
      <c r="H10" s="230"/>
      <c r="I10" s="230"/>
      <c r="J10" s="230"/>
      <c r="K10" s="230"/>
      <c r="L10" s="230"/>
    </row>
    <row r="11" ht="18.75" customHeight="1">
      <c r="A11" s="230"/>
      <c r="B11" s="241" t="s">
        <v>69</v>
      </c>
      <c r="C11" s="242">
        <f>CONCENTRADO!E54</f>
        <v>8.034777778</v>
      </c>
      <c r="D11" s="230"/>
      <c r="E11" s="230"/>
      <c r="F11" s="230"/>
      <c r="G11" s="230"/>
      <c r="H11" s="230"/>
      <c r="I11" s="230"/>
      <c r="J11" s="230"/>
      <c r="K11" s="230"/>
      <c r="L11" s="230"/>
    </row>
    <row r="12" ht="18.75" customHeight="1">
      <c r="A12" s="230"/>
      <c r="B12" s="243" t="s">
        <v>68</v>
      </c>
      <c r="C12" s="244">
        <f>CONCENTRADO!D54</f>
        <v>7.726436782</v>
      </c>
      <c r="D12" s="230"/>
      <c r="E12" s="230"/>
      <c r="F12" s="230"/>
      <c r="G12" s="230"/>
      <c r="H12" s="230"/>
      <c r="I12" s="230"/>
      <c r="J12" s="230"/>
      <c r="K12" s="230"/>
      <c r="L12" s="230"/>
    </row>
    <row r="13" ht="18.75" customHeight="1">
      <c r="A13" s="230"/>
      <c r="B13" s="245" t="s">
        <v>72</v>
      </c>
      <c r="C13" s="246">
        <f>AVERAGE(C9:C12)</f>
        <v>7.920404853</v>
      </c>
      <c r="D13" s="230"/>
      <c r="E13" s="230"/>
      <c r="F13" s="230"/>
      <c r="G13" s="230"/>
      <c r="H13" s="230"/>
      <c r="I13" s="230"/>
      <c r="J13" s="230"/>
      <c r="K13" s="230"/>
      <c r="L13" s="230"/>
    </row>
    <row r="14" ht="18.75" customHeight="1">
      <c r="A14" s="230"/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</row>
    <row r="15" ht="18.75" customHeight="1">
      <c r="A15" s="230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</row>
    <row r="16" ht="18.75" customHeight="1">
      <c r="A16" s="230"/>
      <c r="B16" s="230"/>
      <c r="C16" s="230"/>
      <c r="D16" s="230"/>
      <c r="E16" s="230"/>
      <c r="F16" s="230"/>
      <c r="G16" s="230"/>
      <c r="H16" s="230"/>
      <c r="I16" s="230"/>
      <c r="J16" s="230"/>
      <c r="K16" s="230"/>
      <c r="L16" s="230"/>
    </row>
    <row r="17" ht="18.75" customHeight="1">
      <c r="A17" s="230"/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</row>
    <row r="18" ht="18.75" customHeight="1">
      <c r="A18" s="230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</row>
    <row r="19" ht="18.75" customHeight="1">
      <c r="A19" s="230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</row>
    <row r="20" ht="18.75" customHeight="1">
      <c r="A20" s="230"/>
      <c r="B20" s="230"/>
      <c r="C20" s="230"/>
      <c r="D20" s="230"/>
      <c r="E20" s="230"/>
      <c r="F20" s="230"/>
      <c r="G20" s="230"/>
      <c r="H20" s="230"/>
      <c r="I20" s="230"/>
      <c r="J20" s="230"/>
      <c r="K20" s="230"/>
      <c r="L20" s="230"/>
    </row>
    <row r="21" ht="18.75" customHeight="1">
      <c r="A21" s="230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</row>
    <row r="22" ht="18.75" customHeight="1">
      <c r="A22" s="230"/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</row>
    <row r="23" ht="18.75" customHeight="1">
      <c r="A23" s="230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</row>
    <row r="24" ht="18.75" customHeight="1">
      <c r="A24" s="230"/>
      <c r="B24" s="230"/>
      <c r="C24" s="230"/>
      <c r="D24" s="230"/>
      <c r="E24" s="230"/>
      <c r="F24" s="230"/>
      <c r="G24" s="230"/>
      <c r="H24" s="230"/>
      <c r="I24" s="230"/>
      <c r="J24" s="230"/>
      <c r="K24" s="230"/>
      <c r="L24" s="230"/>
    </row>
    <row r="25" ht="18.75" customHeight="1">
      <c r="A25" s="230"/>
      <c r="B25" s="230"/>
      <c r="C25" s="230"/>
      <c r="D25" s="230"/>
      <c r="E25" s="230"/>
      <c r="F25" s="230"/>
      <c r="G25" s="230"/>
      <c r="H25" s="230"/>
      <c r="I25" s="230"/>
      <c r="J25" s="230"/>
      <c r="K25" s="230"/>
      <c r="L25" s="230"/>
    </row>
    <row r="26" ht="18.75" customHeight="1">
      <c r="A26" s="230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</row>
    <row r="27" ht="18.75" customHeight="1">
      <c r="A27" s="230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</row>
    <row r="28" ht="18.75" customHeight="1">
      <c r="A28" s="230"/>
      <c r="B28" s="230"/>
      <c r="C28" s="230"/>
      <c r="D28" s="230"/>
      <c r="E28" s="230"/>
      <c r="F28" s="230"/>
      <c r="G28" s="230"/>
      <c r="H28" s="230"/>
      <c r="I28" s="230"/>
      <c r="J28" s="230"/>
      <c r="K28" s="230"/>
      <c r="L28" s="230"/>
    </row>
    <row r="29" ht="18.75" customHeight="1">
      <c r="A29" s="230"/>
      <c r="B29" s="230"/>
      <c r="C29" s="230"/>
      <c r="D29" s="230"/>
      <c r="E29" s="230"/>
      <c r="F29" s="230"/>
      <c r="G29" s="230"/>
      <c r="H29" s="230"/>
      <c r="I29" s="230"/>
      <c r="J29" s="230"/>
      <c r="K29" s="230"/>
      <c r="L29" s="230"/>
    </row>
    <row r="30" ht="18.75" customHeight="1">
      <c r="A30" s="230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</row>
    <row r="31" ht="18.75" customHeight="1">
      <c r="A31" s="230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</row>
    <row r="32" ht="18.75" customHeight="1">
      <c r="A32" s="230"/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</row>
    <row r="33" ht="18.75" customHeight="1">
      <c r="A33" s="230"/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</row>
    <row r="34" ht="18.75" customHeight="1">
      <c r="A34" s="230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</row>
    <row r="35" ht="18.75" customHeight="1">
      <c r="A35" s="230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</row>
    <row r="36" ht="18.75" customHeight="1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</row>
    <row r="37" ht="18.75" customHeight="1">
      <c r="A37" s="230"/>
      <c r="B37" s="230"/>
      <c r="C37" s="230"/>
      <c r="D37" s="230"/>
      <c r="E37" s="230"/>
      <c r="F37" s="230"/>
      <c r="G37" s="230"/>
      <c r="H37" s="230"/>
      <c r="I37" s="230"/>
      <c r="J37" s="230"/>
      <c r="K37" s="230"/>
      <c r="L37" s="230"/>
    </row>
    <row r="38" ht="18.75" customHeight="1">
      <c r="A38" s="230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</row>
    <row r="39" ht="18.75" customHeight="1">
      <c r="A39" s="230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</row>
    <row r="40" ht="18.75" customHeight="1">
      <c r="A40" s="230"/>
      <c r="B40" s="230"/>
      <c r="C40" s="230"/>
      <c r="D40" s="230"/>
      <c r="E40" s="230"/>
      <c r="F40" s="230"/>
      <c r="G40" s="230"/>
      <c r="H40" s="230"/>
      <c r="I40" s="230"/>
      <c r="J40" s="230"/>
      <c r="K40" s="230"/>
      <c r="L40" s="230"/>
    </row>
    <row r="41" ht="18.75" customHeight="1">
      <c r="A41" s="230"/>
      <c r="B41" s="230"/>
      <c r="C41" s="230"/>
      <c r="D41" s="230"/>
      <c r="E41" s="230"/>
      <c r="F41" s="230"/>
      <c r="G41" s="230"/>
      <c r="H41" s="230"/>
      <c r="I41" s="230"/>
      <c r="J41" s="230"/>
      <c r="K41" s="230"/>
      <c r="L41" s="230"/>
    </row>
    <row r="42" ht="18.75" customHeight="1">
      <c r="A42" s="230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ht="18.75" customHeight="1">
      <c r="A43" s="230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</row>
    <row r="44" ht="18.75" customHeight="1">
      <c r="A44" s="230"/>
      <c r="B44" s="230"/>
      <c r="C44" s="230"/>
      <c r="D44" s="230"/>
      <c r="E44" s="230"/>
      <c r="F44" s="230"/>
      <c r="G44" s="230"/>
      <c r="H44" s="230"/>
      <c r="I44" s="230"/>
      <c r="J44" s="230"/>
      <c r="K44" s="230"/>
      <c r="L44" s="230"/>
    </row>
    <row r="45" ht="18.75" customHeight="1">
      <c r="A45" s="230"/>
      <c r="B45" s="230"/>
      <c r="C45" s="230"/>
      <c r="D45" s="230"/>
      <c r="E45" s="230"/>
      <c r="F45" s="230"/>
      <c r="G45" s="230"/>
      <c r="H45" s="230"/>
      <c r="I45" s="230"/>
      <c r="J45" s="230"/>
      <c r="K45" s="230"/>
      <c r="L45" s="230"/>
    </row>
    <row r="46" ht="18.75" customHeight="1">
      <c r="A46" s="230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</row>
    <row r="47" ht="18.75" customHeight="1">
      <c r="A47" s="230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</row>
    <row r="48" ht="18.75" customHeight="1">
      <c r="A48" s="230"/>
      <c r="B48" s="230"/>
      <c r="C48" s="230"/>
      <c r="D48" s="230"/>
      <c r="E48" s="230"/>
      <c r="F48" s="230"/>
      <c r="G48" s="230"/>
      <c r="H48" s="230"/>
      <c r="I48" s="230"/>
      <c r="J48" s="230"/>
      <c r="K48" s="230"/>
      <c r="L48" s="230"/>
    </row>
    <row r="49" ht="18.75" customHeight="1">
      <c r="A49" s="230"/>
      <c r="B49" s="230"/>
      <c r="C49" s="230"/>
      <c r="D49" s="230"/>
      <c r="E49" s="230"/>
      <c r="F49" s="230"/>
      <c r="G49" s="230"/>
      <c r="H49" s="230"/>
      <c r="I49" s="230"/>
      <c r="J49" s="230"/>
      <c r="K49" s="230"/>
      <c r="L49" s="230"/>
    </row>
    <row r="50" ht="18.75" customHeight="1">
      <c r="A50" s="230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</row>
    <row r="51" ht="18.75" customHeight="1">
      <c r="A51" s="230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</row>
    <row r="52" ht="18.75" customHeight="1">
      <c r="A52" s="230"/>
      <c r="B52" s="230"/>
      <c r="C52" s="230"/>
      <c r="D52" s="230"/>
      <c r="E52" s="230"/>
      <c r="F52" s="230"/>
      <c r="G52" s="230"/>
      <c r="H52" s="230"/>
      <c r="I52" s="230"/>
      <c r="J52" s="230"/>
      <c r="K52" s="230"/>
      <c r="L52" s="230"/>
    </row>
    <row r="53" ht="18.75" customHeight="1">
      <c r="A53" s="230"/>
      <c r="B53" s="230"/>
      <c r="C53" s="230"/>
      <c r="D53" s="230"/>
      <c r="E53" s="230"/>
      <c r="F53" s="230"/>
      <c r="G53" s="230"/>
      <c r="H53" s="230"/>
      <c r="I53" s="230"/>
      <c r="J53" s="230"/>
      <c r="K53" s="230"/>
      <c r="L53" s="230"/>
    </row>
    <row r="54" ht="18.75" customHeight="1">
      <c r="A54" s="230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</row>
    <row r="55" ht="18.75" customHeight="1">
      <c r="A55" s="230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</row>
    <row r="56" ht="18.75" customHeight="1">
      <c r="A56" s="230"/>
      <c r="B56" s="230"/>
      <c r="C56" s="230"/>
      <c r="D56" s="230"/>
      <c r="E56" s="230"/>
      <c r="F56" s="230"/>
      <c r="G56" s="230"/>
      <c r="H56" s="230"/>
      <c r="I56" s="230"/>
      <c r="J56" s="230"/>
      <c r="K56" s="230"/>
      <c r="L56" s="230"/>
    </row>
    <row r="57" ht="18.75" customHeight="1">
      <c r="A57" s="230"/>
      <c r="B57" s="230"/>
      <c r="C57" s="230"/>
      <c r="D57" s="230"/>
      <c r="E57" s="230"/>
      <c r="F57" s="230"/>
      <c r="G57" s="230"/>
      <c r="H57" s="230"/>
      <c r="I57" s="230"/>
      <c r="J57" s="230"/>
      <c r="K57" s="230"/>
      <c r="L57" s="230"/>
    </row>
    <row r="58" ht="18.75" customHeight="1">
      <c r="A58" s="230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</row>
    <row r="59" ht="18.75" customHeight="1">
      <c r="A59" s="230"/>
      <c r="B59" s="230"/>
      <c r="C59" s="230"/>
      <c r="D59" s="230"/>
      <c r="E59" s="230"/>
      <c r="F59" s="230"/>
      <c r="G59" s="230"/>
      <c r="H59" s="230"/>
      <c r="I59" s="230"/>
      <c r="J59" s="230"/>
      <c r="K59" s="230"/>
      <c r="L59" s="230"/>
    </row>
    <row r="60" ht="18.75" customHeight="1">
      <c r="A60" s="230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</row>
    <row r="61" ht="18.75" customHeight="1">
      <c r="A61" s="230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</row>
    <row r="62" ht="18.75" customHeight="1">
      <c r="A62" s="230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</row>
    <row r="63" ht="18.75" customHeight="1">
      <c r="A63" s="230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</row>
    <row r="64" ht="18.75" customHeight="1">
      <c r="A64" s="230"/>
      <c r="B64" s="230"/>
      <c r="C64" s="230"/>
      <c r="D64" s="230"/>
      <c r="E64" s="230"/>
      <c r="F64" s="230"/>
      <c r="G64" s="230"/>
      <c r="H64" s="230"/>
      <c r="I64" s="230"/>
      <c r="J64" s="230"/>
      <c r="K64" s="230"/>
      <c r="L64" s="230"/>
    </row>
    <row r="65" ht="18.75" customHeight="1">
      <c r="A65" s="230"/>
      <c r="B65" s="230"/>
      <c r="C65" s="230"/>
      <c r="D65" s="230"/>
      <c r="E65" s="230"/>
      <c r="F65" s="230"/>
      <c r="G65" s="230"/>
      <c r="H65" s="230"/>
      <c r="I65" s="230"/>
      <c r="J65" s="230"/>
      <c r="K65" s="230"/>
      <c r="L65" s="230"/>
    </row>
    <row r="66" ht="18.75" customHeight="1">
      <c r="A66" s="230"/>
      <c r="B66" s="230"/>
      <c r="C66" s="230"/>
      <c r="D66" s="230"/>
      <c r="E66" s="230"/>
      <c r="F66" s="230"/>
      <c r="G66" s="230"/>
      <c r="H66" s="230"/>
      <c r="I66" s="230"/>
      <c r="J66" s="230"/>
      <c r="K66" s="230"/>
      <c r="L66" s="230"/>
    </row>
    <row r="67" ht="18.75" customHeight="1">
      <c r="A67" s="230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</row>
    <row r="68" ht="18.75" customHeight="1">
      <c r="A68" s="230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</row>
    <row r="69" ht="18.75" customHeight="1">
      <c r="A69" s="230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ht="18.75" customHeight="1">
      <c r="A70" s="230"/>
      <c r="B70" s="230"/>
      <c r="C70" s="230"/>
      <c r="D70" s="230"/>
      <c r="E70" s="230"/>
      <c r="F70" s="230"/>
      <c r="G70" s="230"/>
      <c r="H70" s="230"/>
      <c r="I70" s="230"/>
      <c r="J70" s="230"/>
      <c r="K70" s="230"/>
      <c r="L70" s="230"/>
    </row>
    <row r="71" ht="18.75" customHeight="1">
      <c r="A71" s="230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</row>
    <row r="72" ht="18.75" customHeight="1">
      <c r="A72" s="230"/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</row>
    <row r="73" ht="18.75" customHeight="1">
      <c r="A73" s="230"/>
      <c r="B73" s="230"/>
      <c r="C73" s="230"/>
      <c r="D73" s="230"/>
      <c r="E73" s="230"/>
      <c r="F73" s="230"/>
      <c r="G73" s="230"/>
      <c r="H73" s="230"/>
      <c r="I73" s="230"/>
      <c r="J73" s="230"/>
      <c r="K73" s="230"/>
      <c r="L73" s="230"/>
    </row>
    <row r="74" ht="18.75" customHeight="1">
      <c r="A74" s="230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</row>
    <row r="75" ht="18.75" customHeight="1">
      <c r="A75" s="230"/>
      <c r="B75" s="230"/>
      <c r="C75" s="230"/>
      <c r="D75" s="230"/>
      <c r="E75" s="230"/>
      <c r="F75" s="230"/>
      <c r="G75" s="230"/>
      <c r="H75" s="230"/>
      <c r="I75" s="230"/>
      <c r="J75" s="230"/>
      <c r="K75" s="230"/>
      <c r="L75" s="230"/>
    </row>
    <row r="76" ht="18.75" customHeight="1">
      <c r="A76" s="230"/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</row>
    <row r="77" ht="18.75" customHeight="1">
      <c r="A77" s="230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</row>
    <row r="78" ht="18.75" customHeight="1">
      <c r="A78" s="230"/>
      <c r="B78" s="230"/>
      <c r="C78" s="230"/>
      <c r="D78" s="230"/>
      <c r="E78" s="230"/>
      <c r="F78" s="230"/>
      <c r="G78" s="230"/>
      <c r="H78" s="230"/>
      <c r="I78" s="230"/>
      <c r="J78" s="230"/>
      <c r="K78" s="230"/>
      <c r="L78" s="230"/>
    </row>
    <row r="79" ht="18.75" customHeight="1">
      <c r="A79" s="230"/>
      <c r="B79" s="230"/>
      <c r="C79" s="230"/>
      <c r="D79" s="230"/>
      <c r="E79" s="230"/>
      <c r="F79" s="230"/>
      <c r="G79" s="230"/>
      <c r="H79" s="230"/>
      <c r="I79" s="230"/>
      <c r="J79" s="230"/>
      <c r="K79" s="230"/>
      <c r="L79" s="230"/>
    </row>
    <row r="80" ht="18.75" customHeight="1">
      <c r="A80" s="230"/>
      <c r="B80" s="230"/>
      <c r="C80" s="230"/>
      <c r="D80" s="230"/>
      <c r="E80" s="230"/>
      <c r="F80" s="230"/>
      <c r="G80" s="230"/>
      <c r="H80" s="230"/>
      <c r="I80" s="230"/>
      <c r="J80" s="230"/>
      <c r="K80" s="230"/>
      <c r="L80" s="230"/>
    </row>
    <row r="81" ht="18.75" customHeight="1">
      <c r="A81" s="230"/>
      <c r="B81" s="230"/>
      <c r="C81" s="230"/>
      <c r="D81" s="230"/>
      <c r="E81" s="230"/>
      <c r="F81" s="230"/>
      <c r="G81" s="230"/>
      <c r="H81" s="230"/>
      <c r="I81" s="230"/>
      <c r="J81" s="230"/>
      <c r="K81" s="230"/>
      <c r="L81" s="230"/>
    </row>
    <row r="82" ht="18.75" customHeight="1">
      <c r="A82" s="230"/>
      <c r="B82" s="230"/>
      <c r="C82" s="230"/>
      <c r="D82" s="230"/>
      <c r="E82" s="230"/>
      <c r="F82" s="230"/>
      <c r="G82" s="230"/>
      <c r="H82" s="230"/>
      <c r="I82" s="230"/>
      <c r="J82" s="230"/>
      <c r="K82" s="230"/>
      <c r="L82" s="230"/>
    </row>
    <row r="83" ht="18.75" customHeight="1">
      <c r="A83" s="230"/>
      <c r="B83" s="230"/>
      <c r="C83" s="230"/>
      <c r="D83" s="230"/>
      <c r="E83" s="230"/>
      <c r="F83" s="230"/>
      <c r="G83" s="230"/>
      <c r="H83" s="230"/>
      <c r="I83" s="230"/>
      <c r="J83" s="230"/>
      <c r="K83" s="230"/>
      <c r="L83" s="230"/>
    </row>
    <row r="84" ht="18.75" customHeight="1">
      <c r="A84" s="230"/>
      <c r="B84" s="230"/>
      <c r="C84" s="230"/>
      <c r="D84" s="230"/>
      <c r="E84" s="230"/>
      <c r="F84" s="230"/>
      <c r="G84" s="230"/>
      <c r="H84" s="230"/>
      <c r="I84" s="230"/>
      <c r="J84" s="230"/>
      <c r="K84" s="230"/>
      <c r="L84" s="230"/>
    </row>
    <row r="85" ht="18.75" customHeight="1">
      <c r="A85" s="230"/>
      <c r="B85" s="230"/>
      <c r="C85" s="230"/>
      <c r="D85" s="230"/>
      <c r="E85" s="230"/>
      <c r="F85" s="230"/>
      <c r="G85" s="230"/>
      <c r="H85" s="230"/>
      <c r="I85" s="230"/>
      <c r="J85" s="230"/>
      <c r="K85" s="230"/>
      <c r="L85" s="230"/>
    </row>
    <row r="86" ht="18.75" customHeight="1">
      <c r="A86" s="230"/>
      <c r="B86" s="230"/>
      <c r="C86" s="230"/>
      <c r="D86" s="230"/>
      <c r="E86" s="230"/>
      <c r="F86" s="230"/>
      <c r="G86" s="230"/>
      <c r="H86" s="230"/>
      <c r="I86" s="230"/>
      <c r="J86" s="230"/>
      <c r="K86" s="230"/>
      <c r="L86" s="230"/>
    </row>
    <row r="87" ht="18.75" customHeight="1">
      <c r="A87" s="230"/>
      <c r="B87" s="230"/>
      <c r="C87" s="230"/>
      <c r="D87" s="230"/>
      <c r="E87" s="230"/>
      <c r="F87" s="230"/>
      <c r="G87" s="230"/>
      <c r="H87" s="230"/>
      <c r="I87" s="230"/>
      <c r="J87" s="230"/>
      <c r="K87" s="230"/>
      <c r="L87" s="230"/>
    </row>
    <row r="88" ht="18.75" customHeight="1">
      <c r="A88" s="230"/>
      <c r="B88" s="230"/>
      <c r="C88" s="230"/>
      <c r="D88" s="230"/>
      <c r="E88" s="230"/>
      <c r="F88" s="230"/>
      <c r="G88" s="230"/>
      <c r="H88" s="230"/>
      <c r="I88" s="230"/>
      <c r="J88" s="230"/>
      <c r="K88" s="230"/>
      <c r="L88" s="230"/>
    </row>
    <row r="89" ht="18.75" customHeight="1">
      <c r="A89" s="230"/>
      <c r="B89" s="230"/>
      <c r="C89" s="230"/>
      <c r="D89" s="230"/>
      <c r="E89" s="230"/>
      <c r="F89" s="230"/>
      <c r="G89" s="230"/>
      <c r="H89" s="230"/>
      <c r="I89" s="230"/>
      <c r="J89" s="230"/>
      <c r="K89" s="230"/>
      <c r="L89" s="230"/>
    </row>
    <row r="90" ht="18.75" customHeight="1">
      <c r="A90" s="230"/>
      <c r="B90" s="230"/>
      <c r="C90" s="230"/>
      <c r="D90" s="230"/>
      <c r="E90" s="230"/>
      <c r="F90" s="230"/>
      <c r="G90" s="230"/>
      <c r="H90" s="230"/>
      <c r="I90" s="230"/>
      <c r="J90" s="230"/>
      <c r="K90" s="230"/>
      <c r="L90" s="230"/>
    </row>
    <row r="91" ht="18.75" customHeight="1">
      <c r="A91" s="230"/>
      <c r="B91" s="230"/>
      <c r="C91" s="230"/>
      <c r="D91" s="230"/>
      <c r="E91" s="230"/>
      <c r="F91" s="230"/>
      <c r="G91" s="230"/>
      <c r="H91" s="230"/>
      <c r="I91" s="230"/>
      <c r="J91" s="230"/>
      <c r="K91" s="230"/>
      <c r="L91" s="230"/>
    </row>
    <row r="92" ht="18.75" customHeight="1">
      <c r="A92" s="230"/>
      <c r="B92" s="230"/>
      <c r="C92" s="230"/>
      <c r="D92" s="230"/>
      <c r="E92" s="230"/>
      <c r="F92" s="230"/>
      <c r="G92" s="230"/>
      <c r="H92" s="230"/>
      <c r="I92" s="230"/>
      <c r="J92" s="230"/>
      <c r="K92" s="230"/>
      <c r="L92" s="230"/>
    </row>
    <row r="93" ht="18.75" customHeight="1">
      <c r="A93" s="230"/>
      <c r="B93" s="230"/>
      <c r="C93" s="230"/>
      <c r="D93" s="230"/>
      <c r="E93" s="230"/>
      <c r="F93" s="230"/>
      <c r="G93" s="230"/>
      <c r="H93" s="230"/>
      <c r="I93" s="230"/>
      <c r="J93" s="230"/>
      <c r="K93" s="230"/>
      <c r="L93" s="230"/>
    </row>
    <row r="94" ht="18.75" customHeight="1">
      <c r="A94" s="230"/>
      <c r="B94" s="230"/>
      <c r="C94" s="230"/>
      <c r="D94" s="230"/>
      <c r="E94" s="230"/>
      <c r="F94" s="230"/>
      <c r="G94" s="230"/>
      <c r="H94" s="230"/>
      <c r="I94" s="230"/>
      <c r="J94" s="230"/>
      <c r="K94" s="230"/>
      <c r="L94" s="230"/>
    </row>
    <row r="95" ht="18.75" customHeight="1">
      <c r="A95" s="230"/>
      <c r="B95" s="230"/>
      <c r="C95" s="230"/>
      <c r="D95" s="230"/>
      <c r="E95" s="230"/>
      <c r="F95" s="230"/>
      <c r="G95" s="230"/>
      <c r="H95" s="230"/>
      <c r="I95" s="230"/>
      <c r="J95" s="230"/>
      <c r="K95" s="230"/>
      <c r="L95" s="230"/>
    </row>
    <row r="96" ht="18.75" customHeight="1">
      <c r="A96" s="230"/>
      <c r="B96" s="230"/>
      <c r="C96" s="230"/>
      <c r="D96" s="230"/>
      <c r="E96" s="230"/>
      <c r="F96" s="230"/>
      <c r="G96" s="230"/>
      <c r="H96" s="230"/>
      <c r="I96" s="230"/>
      <c r="J96" s="230"/>
      <c r="K96" s="230"/>
      <c r="L96" s="230"/>
    </row>
    <row r="97" ht="18.75" customHeight="1">
      <c r="A97" s="230"/>
      <c r="B97" s="230"/>
      <c r="C97" s="230"/>
      <c r="D97" s="230"/>
      <c r="E97" s="230"/>
      <c r="F97" s="230"/>
      <c r="G97" s="230"/>
      <c r="H97" s="230"/>
      <c r="I97" s="230"/>
      <c r="J97" s="230"/>
      <c r="K97" s="230"/>
      <c r="L97" s="230"/>
    </row>
    <row r="98" ht="18.75" customHeight="1">
      <c r="A98" s="230"/>
      <c r="B98" s="230"/>
      <c r="C98" s="230"/>
      <c r="D98" s="230"/>
      <c r="E98" s="230"/>
      <c r="F98" s="230"/>
      <c r="G98" s="230"/>
      <c r="H98" s="230"/>
      <c r="I98" s="230"/>
      <c r="J98" s="230"/>
      <c r="K98" s="230"/>
      <c r="L98" s="230"/>
    </row>
    <row r="99" ht="18.75" customHeight="1">
      <c r="A99" s="230"/>
      <c r="B99" s="230"/>
      <c r="C99" s="230"/>
      <c r="D99" s="230"/>
      <c r="E99" s="230"/>
      <c r="F99" s="230"/>
      <c r="G99" s="230"/>
      <c r="H99" s="230"/>
      <c r="I99" s="230"/>
      <c r="J99" s="230"/>
      <c r="K99" s="230"/>
      <c r="L99" s="230"/>
    </row>
    <row r="100" ht="18.75" customHeight="1">
      <c r="A100" s="230"/>
      <c r="B100" s="230"/>
      <c r="C100" s="230"/>
      <c r="D100" s="230"/>
      <c r="E100" s="230"/>
      <c r="F100" s="230"/>
      <c r="G100" s="230"/>
      <c r="H100" s="230"/>
      <c r="I100" s="230"/>
      <c r="J100" s="230"/>
      <c r="K100" s="230"/>
      <c r="L100" s="23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